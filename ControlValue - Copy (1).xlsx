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"/>
    </mc:Choice>
  </mc:AlternateContent>
  <xr:revisionPtr revIDLastSave="0" documentId="13_ncr:1_{079F360A-ECB9-4EF6-B01C-CE7B61711600}" xr6:coauthVersionLast="47" xr6:coauthVersionMax="47" xr10:uidLastSave="{00000000-0000-0000-0000-000000000000}"/>
  <bookViews>
    <workbookView xWindow="3528" yWindow="1872" windowWidth="16824" windowHeight="8964" xr2:uid="{5299F01B-EB23-4A7A-B111-892698149075}"/>
  </bookViews>
  <sheets>
    <sheet name="Current Value" sheetId="1" r:id="rId1"/>
    <sheet name="UCL" sheetId="2" r:id="rId2"/>
    <sheet name="LCL" sheetId="3" r:id="rId3"/>
    <sheet name="AVG" sheetId="4" r:id="rId4"/>
    <sheet name="Beyond Limit" sheetId="5" r:id="rId5"/>
    <sheet name="Bias" sheetId="6" r:id="rId6"/>
    <sheet name="Trend" sheetId="7" r:id="rId7"/>
    <sheet name="Over Control" sheetId="8" r:id="rId8"/>
    <sheet name="Summar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" i="9" l="1"/>
  <c r="D1" i="9"/>
  <c r="E1" i="9"/>
  <c r="F1" i="9"/>
  <c r="B1" i="9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2" i="4"/>
  <c r="A2" i="8"/>
  <c r="A3" i="8" s="1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B16" i="8" s="1"/>
  <c r="A2" i="7"/>
  <c r="A3" i="7" s="1"/>
  <c r="A4" i="7" s="1"/>
  <c r="A5" i="7" s="1"/>
  <c r="A6" i="7" s="1"/>
  <c r="A7" i="7" s="1"/>
  <c r="A8" i="7" s="1"/>
  <c r="A9" i="7" s="1"/>
  <c r="C9" i="7" s="1"/>
  <c r="A2" i="6"/>
  <c r="D2" i="6" s="1"/>
  <c r="A2" i="5"/>
  <c r="F2" i="5" s="1"/>
  <c r="F3" i="9" s="1"/>
  <c r="A31" i="8" l="1"/>
  <c r="A27" i="8"/>
  <c r="A23" i="8"/>
  <c r="A30" i="8"/>
  <c r="A26" i="8"/>
  <c r="A22" i="8"/>
  <c r="A29" i="8"/>
  <c r="A25" i="8"/>
  <c r="A21" i="8"/>
  <c r="A32" i="8"/>
  <c r="A28" i="8"/>
  <c r="A24" i="8"/>
  <c r="A20" i="8"/>
  <c r="A19" i="8"/>
  <c r="A17" i="8"/>
  <c r="F17" i="8" s="1"/>
  <c r="F2" i="6"/>
  <c r="E2" i="6"/>
  <c r="F5" i="8"/>
  <c r="F12" i="8"/>
  <c r="F4" i="8"/>
  <c r="F8" i="8"/>
  <c r="F13" i="8"/>
  <c r="F9" i="8"/>
  <c r="F3" i="8"/>
  <c r="F11" i="8"/>
  <c r="F7" i="8"/>
  <c r="F14" i="8"/>
  <c r="F10" i="8"/>
  <c r="F6" i="8"/>
  <c r="F2" i="8"/>
  <c r="F15" i="8"/>
  <c r="F16" i="8"/>
  <c r="E13" i="8"/>
  <c r="E9" i="8"/>
  <c r="E5" i="8"/>
  <c r="E12" i="8"/>
  <c r="E8" i="8"/>
  <c r="E4" i="8"/>
  <c r="E11" i="8"/>
  <c r="E7" i="8"/>
  <c r="E3" i="8"/>
  <c r="E14" i="8"/>
  <c r="E10" i="8"/>
  <c r="E6" i="8"/>
  <c r="E2" i="8"/>
  <c r="E15" i="8"/>
  <c r="D8" i="8"/>
  <c r="D13" i="8"/>
  <c r="D5" i="8"/>
  <c r="D12" i="8"/>
  <c r="D4" i="8"/>
  <c r="D9" i="8"/>
  <c r="D11" i="8"/>
  <c r="D7" i="8"/>
  <c r="D3" i="8"/>
  <c r="D14" i="8"/>
  <c r="D10" i="8"/>
  <c r="D6" i="8"/>
  <c r="D2" i="8"/>
  <c r="C12" i="8"/>
  <c r="C4" i="8"/>
  <c r="C8" i="8"/>
  <c r="C13" i="8"/>
  <c r="C5" i="8"/>
  <c r="C9" i="8"/>
  <c r="D15" i="8"/>
  <c r="C11" i="8"/>
  <c r="C7" i="8"/>
  <c r="C3" i="8"/>
  <c r="C20" i="8" s="1"/>
  <c r="C14" i="8"/>
  <c r="C10" i="8"/>
  <c r="C6" i="8"/>
  <c r="C2" i="8"/>
  <c r="C15" i="8"/>
  <c r="D16" i="8"/>
  <c r="C16" i="8"/>
  <c r="B13" i="8"/>
  <c r="B9" i="8"/>
  <c r="B5" i="8"/>
  <c r="B12" i="8"/>
  <c r="B8" i="8"/>
  <c r="B4" i="8"/>
  <c r="B11" i="8"/>
  <c r="B7" i="8"/>
  <c r="B3" i="8"/>
  <c r="B14" i="8"/>
  <c r="B10" i="8"/>
  <c r="B6" i="8"/>
  <c r="B2" i="8"/>
  <c r="B15" i="8"/>
  <c r="B32" i="8" s="1"/>
  <c r="F4" i="7"/>
  <c r="F5" i="7"/>
  <c r="F7" i="7"/>
  <c r="F3" i="7"/>
  <c r="F6" i="7"/>
  <c r="F2" i="7"/>
  <c r="F8" i="7"/>
  <c r="E4" i="7"/>
  <c r="E5" i="7"/>
  <c r="E7" i="7"/>
  <c r="E3" i="7"/>
  <c r="E6" i="7"/>
  <c r="E2" i="7"/>
  <c r="E8" i="7"/>
  <c r="D4" i="7"/>
  <c r="D5" i="7"/>
  <c r="D7" i="7"/>
  <c r="D3" i="7"/>
  <c r="D6" i="7"/>
  <c r="D2" i="7"/>
  <c r="F9" i="7"/>
  <c r="E9" i="7"/>
  <c r="D9" i="7"/>
  <c r="D8" i="7"/>
  <c r="C5" i="7"/>
  <c r="C4" i="7"/>
  <c r="C7" i="7"/>
  <c r="C3" i="7"/>
  <c r="C6" i="7"/>
  <c r="C2" i="7"/>
  <c r="C8" i="7"/>
  <c r="B5" i="7"/>
  <c r="B4" i="7"/>
  <c r="B7" i="7"/>
  <c r="B3" i="7"/>
  <c r="B6" i="7"/>
  <c r="B2" i="7"/>
  <c r="B8" i="7"/>
  <c r="B9" i="7"/>
  <c r="B2" i="6"/>
  <c r="C2" i="6"/>
  <c r="A3" i="6"/>
  <c r="F3" i="6" s="1"/>
  <c r="B2" i="5"/>
  <c r="B3" i="9" s="1"/>
  <c r="C2" i="5"/>
  <c r="C3" i="9" s="1"/>
  <c r="E2" i="5"/>
  <c r="E3" i="9" s="1"/>
  <c r="D2" i="5"/>
  <c r="D3" i="9" s="1"/>
  <c r="C23" i="8" l="1"/>
  <c r="D19" i="8"/>
  <c r="E27" i="8"/>
  <c r="C19" i="8"/>
  <c r="B27" i="8"/>
  <c r="C27" i="8"/>
  <c r="E19" i="8"/>
  <c r="B19" i="8"/>
  <c r="D20" i="8"/>
  <c r="D23" i="8"/>
  <c r="D27" i="8"/>
  <c r="F20" i="8"/>
  <c r="E23" i="8"/>
  <c r="B23" i="8"/>
  <c r="B28" i="8"/>
  <c r="B21" i="8"/>
  <c r="B26" i="8"/>
  <c r="B20" i="8"/>
  <c r="B25" i="8"/>
  <c r="B30" i="8"/>
  <c r="C26" i="8"/>
  <c r="C21" i="8"/>
  <c r="B31" i="8"/>
  <c r="B24" i="8"/>
  <c r="B29" i="8"/>
  <c r="C24" i="8"/>
  <c r="C29" i="8"/>
  <c r="B22" i="8"/>
  <c r="C30" i="8"/>
  <c r="C32" i="8"/>
  <c r="C31" i="8"/>
  <c r="D32" i="8"/>
  <c r="C25" i="8"/>
  <c r="D24" i="8"/>
  <c r="D29" i="8"/>
  <c r="F19" i="8"/>
  <c r="F24" i="8"/>
  <c r="F22" i="8"/>
  <c r="C22" i="8"/>
  <c r="C28" i="8"/>
  <c r="D21" i="8"/>
  <c r="F32" i="8"/>
  <c r="D28" i="8"/>
  <c r="D22" i="8"/>
  <c r="D31" i="8"/>
  <c r="D26" i="8"/>
  <c r="D30" i="8"/>
  <c r="F27" i="8"/>
  <c r="D25" i="8"/>
  <c r="F31" i="8"/>
  <c r="F26" i="8"/>
  <c r="F29" i="8"/>
  <c r="F30" i="8"/>
  <c r="F23" i="8"/>
  <c r="F28" i="8"/>
  <c r="F25" i="8"/>
  <c r="F21" i="8"/>
  <c r="E28" i="8"/>
  <c r="E17" i="8"/>
  <c r="D17" i="8"/>
  <c r="E16" i="8"/>
  <c r="E32" i="8" s="1"/>
  <c r="B17" i="8"/>
  <c r="C17" i="8"/>
  <c r="E24" i="8"/>
  <c r="E29" i="8"/>
  <c r="E22" i="8"/>
  <c r="E31" i="8"/>
  <c r="E21" i="8"/>
  <c r="E30" i="8"/>
  <c r="E26" i="8"/>
  <c r="E20" i="8"/>
  <c r="E25" i="8"/>
  <c r="D3" i="6"/>
  <c r="E3" i="6"/>
  <c r="C3" i="6"/>
  <c r="B3" i="6"/>
  <c r="A4" i="6"/>
  <c r="F4" i="6" s="1"/>
  <c r="D10" i="7"/>
  <c r="D5" i="9" s="1"/>
  <c r="F10" i="7"/>
  <c r="F5" i="9" s="1"/>
  <c r="E10" i="7"/>
  <c r="E5" i="9" s="1"/>
  <c r="C10" i="7"/>
  <c r="C5" i="9" s="1"/>
  <c r="B10" i="7"/>
  <c r="B5" i="9" s="1"/>
  <c r="E18" i="8" l="1"/>
  <c r="E6" i="9" s="1"/>
  <c r="C18" i="8"/>
  <c r="C6" i="9" s="1"/>
  <c r="D18" i="8"/>
  <c r="D6" i="9" s="1"/>
  <c r="F18" i="8"/>
  <c r="F6" i="9" s="1"/>
  <c r="B18" i="8"/>
  <c r="B6" i="9" s="1"/>
  <c r="D4" i="6"/>
  <c r="E4" i="6"/>
  <c r="C4" i="6"/>
  <c r="B4" i="6"/>
  <c r="A5" i="6"/>
  <c r="F5" i="6" s="1"/>
  <c r="D5" i="6" l="1"/>
  <c r="E5" i="6"/>
  <c r="C5" i="6"/>
  <c r="B5" i="6"/>
  <c r="A6" i="6"/>
  <c r="F6" i="6" s="1"/>
  <c r="D6" i="6" l="1"/>
  <c r="E6" i="6"/>
  <c r="C6" i="6"/>
  <c r="B6" i="6"/>
  <c r="A7" i="6"/>
  <c r="F7" i="6" s="1"/>
  <c r="D7" i="6" l="1"/>
  <c r="E7" i="6"/>
  <c r="C7" i="6"/>
  <c r="B7" i="6"/>
  <c r="A8" i="6"/>
  <c r="F8" i="6" s="1"/>
  <c r="F10" i="6" s="1"/>
  <c r="F4" i="9" s="1"/>
  <c r="D8" i="6" l="1"/>
  <c r="D10" i="6" s="1"/>
  <c r="D4" i="9" s="1"/>
  <c r="E8" i="6"/>
  <c r="E10" i="6" s="1"/>
  <c r="E4" i="9" s="1"/>
  <c r="C8" i="6"/>
  <c r="C10" i="6" s="1"/>
  <c r="C4" i="9" s="1"/>
  <c r="B8" i="6"/>
  <c r="B10" i="6" s="1"/>
  <c r="B4" i="9" s="1"/>
  <c r="A9" i="6"/>
  <c r="F9" i="6" s="1"/>
  <c r="E9" i="6" l="1"/>
  <c r="B9" i="6"/>
  <c r="D9" i="6"/>
  <c r="C9" i="6"/>
</calcChain>
</file>

<file path=xl/sharedStrings.xml><?xml version="1.0" encoding="utf-8"?>
<sst xmlns="http://schemas.openxmlformats.org/spreadsheetml/2006/main" count="56" uniqueCount="16">
  <si>
    <t>200121-0001</t>
  </si>
  <si>
    <t>200121-0002</t>
  </si>
  <si>
    <t>200121-0003</t>
  </si>
  <si>
    <t>Item ID/Date</t>
  </si>
  <si>
    <t>200121-0004</t>
  </si>
  <si>
    <t>200121-0005</t>
  </si>
  <si>
    <t>ITEM ID</t>
  </si>
  <si>
    <t>Beyond Limit</t>
  </si>
  <si>
    <t>Bias</t>
  </si>
  <si>
    <t>Trend</t>
  </si>
  <si>
    <t>Over Control</t>
  </si>
  <si>
    <t>Control Type</t>
  </si>
  <si>
    <t>parameter name</t>
  </si>
  <si>
    <t>200121-00001</t>
  </si>
  <si>
    <t>07/01/2022</t>
  </si>
  <si>
    <t>Xylene soluble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</si>
</sst>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164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5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66DF7-5B1B-47B9-8543-EB0C647C974C}" name="Table1" displayName="Table1" ref="A1:E3" totalsRowShown="0" headerRowDxfId="56" dataDxfId="55">
  <tableColumns count="5">
    <tableColumn id="1" xr3:uid="{80FAA0F0-70E8-41C3-9D37-ECEB541C509F}" name="Item ID/Date" dataDxfId="54"/>
    <tableColumn id="2" xr3:uid="{34103340-B05B-4F86-9C6F-8BFD23D0CEE1}" name="200121-00001" dataDxfId="53"/>
    <tableColumn id="4" xr3:uid="{01A57983-9ABB-4ECA-8A71-3131D9C9244B}" name="200121-0003" dataDxfId="52"/>
    <tableColumn id="5" xr3:uid="{7F7294CB-733F-407D-93FC-BEE58E952E65}" name="200121-0004" dataDxfId="51"/>
    <tableColumn id="6" xr3:uid="{9FF0A169-00DE-46A2-AD65-BD6E14A453C1}" name="200121-0005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D22F3-2170-4D71-9BCB-78482AB2D3FD}" name="Table2" displayName="Table2" ref="A1:F17" totalsRowShown="0" headerRowDxfId="49" dataDxfId="48">
  <tableColumns count="6">
    <tableColumn id="1" xr3:uid="{9F4BD218-AE6A-484D-A69F-11F5395B9B90}" name="Item ID/Date" dataDxfId="47"/>
    <tableColumn id="2" xr3:uid="{60E13639-AB18-46D0-85A5-5819B7D475A7}" name="200121-0001" dataDxfId="46"/>
    <tableColumn id="3" xr3:uid="{80CC9497-3452-4DEF-A37A-B4BD7B2E9348}" name="200121-0002" dataDxfId="45"/>
    <tableColumn id="4" xr3:uid="{3FF7FFF5-F43E-4533-BB1C-0A5D86D3D166}" name="200121-0003" dataDxfId="44"/>
    <tableColumn id="5" xr3:uid="{DF618A94-0428-4CDB-A9DE-DD412693024C}" name="200121-0004" dataDxfId="43"/>
    <tableColumn id="6" xr3:uid="{3EB0A304-E8D4-40A5-A6D0-DB9E3FA87D43}" name="200121-0005" dataDxfId="4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8F87F1-065B-4D65-87F3-78B0CBE2CFD9}" name="Table3" displayName="Table3" ref="A1:F17" totalsRowShown="0" headerRowDxfId="41" dataDxfId="40">
  <tableColumns count="6">
    <tableColumn id="1" xr3:uid="{D0D567E8-82BE-47FB-B082-79AF4CE298F3}" name="Item ID/Date" dataDxfId="39"/>
    <tableColumn id="2" xr3:uid="{9BF7A258-30D6-4D43-A1D6-01440A19A2F3}" name="200121-0001" dataDxfId="38"/>
    <tableColumn id="3" xr3:uid="{012F75A3-59B7-4EB9-8544-4DB893CA09B5}" name="200121-0002" dataDxfId="37"/>
    <tableColumn id="4" xr3:uid="{E5BF35A1-5257-4217-A928-93D078C15DAE}" name="200121-0003" dataDxfId="36"/>
    <tableColumn id="5" xr3:uid="{F48BC5F7-D419-4298-A7DB-B08BA6DAD710}" name="200121-0004" dataDxfId="35"/>
    <tableColumn id="6" xr3:uid="{430EDA54-B124-4F19-8EED-1F996F0C6C60}" name="200121-0005" dataDxfId="34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E8F20-7360-4D1C-A89E-C310E6057FCA}" name="Table4" displayName="Table4" ref="A1:F17" totalsRowShown="0" headerRowDxfId="33">
  <tableColumns count="6">
    <tableColumn id="1" xr3:uid="{1D9DD1E2-B144-44B7-A40F-7083EDA8B607}" name="Item ID/Date" dataDxfId="32"/>
    <tableColumn id="2" xr3:uid="{E7AEA9F6-9D59-458F-BC29-FF2D1097529B}" name="200121-0001">
      <calculatedColumnFormula>LCL!B2+(UCL!B2-LCL!B2)/2</calculatedColumnFormula>
    </tableColumn>
    <tableColumn id="3" xr3:uid="{963BA2ED-DF86-4615-B811-BEE3B1ACD9C8}" name="200121-0002">
      <calculatedColumnFormula>LCL!C2+(UCL!C2-LCL!C2)/2</calculatedColumnFormula>
    </tableColumn>
    <tableColumn id="4" xr3:uid="{B7DCE78E-BAC5-4FC9-9904-AD20FEB9655E}" name="200121-0003">
      <calculatedColumnFormula>LCL!D2+(UCL!D2-LCL!D2)/2</calculatedColumnFormula>
    </tableColumn>
    <tableColumn id="5" xr3:uid="{8CC0BBFE-840C-4D2B-9D9E-FB80C70696AC}" name="200121-0004">
      <calculatedColumnFormula>LCL!E2+(UCL!E2-LCL!E2)/2</calculatedColumnFormula>
    </tableColumn>
    <tableColumn id="6" xr3:uid="{01568082-56C1-401E-9FEF-983FD19AFBCA}" name="200121-0005">
      <calculatedColumnFormula>LCL!F2+(UCL!F2-LCL!F2)/2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CDDC55-2D06-4429-B8DA-78B3E1F44AA6}" name="Table5" displayName="Table5" ref="A1:F2" totalsRowShown="0" headerRowDxfId="31" dataDxfId="30">
  <tableColumns count="6">
    <tableColumn id="1" xr3:uid="{65801701-5382-4998-A18C-A26CB40D7E5F}" name="Item ID/Date" dataDxfId="29">
      <calculatedColumnFormula>OFFSET('Current Value'!A1,COUNTA('Current Value'!A:A)-1,0)</calculatedColumnFormula>
    </tableColumn>
    <tableColumn id="2" xr3:uid="{BE97CBDD-056E-41E4-B87E-DC446837E0DA}" name="200121-0001" dataDxfId="28">
      <calculatedColumnFormula>IF(VLOOKUP($A$2,'Current Value'!$A$1:$E$3,2,TRUE) &gt; VLOOKUP($A$2,UCL!$A$1:$F$16,2,TRUE),"OVER",IF(VLOOKUP($A$2,'Current Value'!$A$1:$E$3,2,TRUE) &lt; VLOOKUP($A$2,LCL!$A$1:$F$16,2,TRUE),"UNDER","NORMAL"))</calculatedColumnFormula>
    </tableColumn>
    <tableColumn id="3" xr3:uid="{CF890C04-C5DB-4007-BA3F-61F03704ECF8}" name="200121-0002" dataDxfId="27">
      <calculatedColumnFormula>IF(VLOOKUP($A$2,'Current Value'!$A$1:$E$3,3,TRUE) &gt; VLOOKUP($A$2,UCL!$A$1:$F$16,3,TRUE),"OVER",IF(VLOOKUP($A$2,'Current Value'!$A$1:$E$3,3,TRUE) &lt; VLOOKUP($A$2,LCL!$A$1:$F$16,3,TRUE),"UNDER","NORMAL"))</calculatedColumnFormula>
    </tableColumn>
    <tableColumn id="4" xr3:uid="{2C86D2A5-2D97-4493-A8E6-168B9C1767C0}" name="200121-0003" dataDxfId="26">
      <calculatedColumnFormula>IF(VLOOKUP($A$2,'Current Value'!$A$1:$E$3,4,TRUE) &gt; VLOOKUP($A$2,UCL!$A$1:$F$16,4,TRUE),"OVER",IF(VLOOKUP($A$2,'Current Value'!$A$1:$E$3,4,TRUE) &lt; VLOOKUP($A$2,LCL!$A$1:$F$16,4,TRUE),"UNDER","NORMAL"))</calculatedColumnFormula>
    </tableColumn>
    <tableColumn id="5" xr3:uid="{A7CDD1A6-5441-4C70-89A2-C9AFD261511B}" name="200121-0004" dataDxfId="25">
      <calculatedColumnFormula>IF(VLOOKUP($A$2,'Current Value'!$A$1:$E$3,5,TRUE) &gt; VLOOKUP($A$2,UCL!$A$1:$F$16,5,TRUE),"OVER",IF(VLOOKUP($A$2,'Current Value'!$A$1:$E$3,5,TRUE) &lt; VLOOKUP($A$2,LCL!$A$1:$F$16,5,TRUE),"UNDER","NORMAL"))</calculatedColumnFormula>
    </tableColumn>
    <tableColumn id="6" xr3:uid="{911B3FD3-FAD0-45F5-AEF9-90789D8E6BFF}" name="200121-0005" dataDxfId="24">
      <calculatedColumnFormula>IF(VLOOKUP($A$2,'Current Value'!$A$1:$E$3,6,TRUE) &gt; VLOOKUP($A$2,UCL!$A$1:$F$16,6,TRUE),"OVER",IF(VLOOKUP($A$2,'Current Value'!$A$1:$E$3,6,TRUE) &lt; VLOOKUP($A$2,LCL!$A$1:$F$16,6,TRUE),"UNDER","NORMAL"))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C0406C-1B74-49CB-BE32-788D2B4B3745}" name="Table6" displayName="Table6" ref="A1:F10" totalsRowShown="0" headerRowDxfId="23" dataDxfId="22">
  <tableColumns count="6">
    <tableColumn id="1" xr3:uid="{20E96194-174B-4431-9080-0C4FB9E12F8C}" name="Item ID/Date" dataDxfId="21"/>
    <tableColumn id="2" xr3:uid="{D8407472-E6D1-4E7D-9B93-EBFDAB7F8870}" name="200121-0001" dataDxfId="20"/>
    <tableColumn id="3" xr3:uid="{D2CB8A49-2606-401A-B47F-4535EDEF3819}" name="200121-0002" dataDxfId="19"/>
    <tableColumn id="4" xr3:uid="{FEAD2E44-8D2C-47F3-BC47-042AFD0E7638}" name="200121-0003" dataDxfId="18"/>
    <tableColumn id="5" xr3:uid="{E6DF4F89-2DFE-4159-AC25-F82104742719}" name="200121-0004" dataDxfId="17"/>
    <tableColumn id="6" xr3:uid="{838C1E09-7AF5-4068-9D76-BDE8BA0E5A92}" name="200121-0005" dataDxfId="16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1169B1-437C-433B-A25E-0DA21D99550B}" name="Table7" displayName="Table7" ref="A1:F10" totalsRowShown="0" headerRowDxfId="15" dataDxfId="14">
  <tableColumns count="6">
    <tableColumn id="1" xr3:uid="{301558A0-1F7D-41AF-9362-4C5B6A71F7D9}" name="Item ID/Date" dataDxfId="13"/>
    <tableColumn id="2" xr3:uid="{F3310B68-681B-4EBB-8B47-6DF8805FD8DB}" name="200121-0001" dataDxfId="12"/>
    <tableColumn id="3" xr3:uid="{899BA34D-B0A2-4352-B560-A5B110E7A723}" name="200121-0002" dataDxfId="11"/>
    <tableColumn id="4" xr3:uid="{C03706AD-84E4-4A8D-AF98-58F208B42283}" name="200121-0003" dataDxfId="10"/>
    <tableColumn id="5" xr3:uid="{25545EB2-0508-45CB-9378-E58B384A301F}" name="200121-0004" dataDxfId="9"/>
    <tableColumn id="6" xr3:uid="{417DA85E-1A4B-435A-A4A5-13B33AFD4AC2}" name="200121-0005" dataDxfId="8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0D72A3-4A2A-4607-AF95-2C0DDA85B11E}" name="Table8" displayName="Table8" ref="A1:F32" totalsRowShown="0" headerRowDxfId="7" dataDxfId="6">
  <tableColumns count="6">
    <tableColumn id="1" xr3:uid="{1546DF79-DF85-4A4D-9616-BD601FC73A47}" name="Item ID/Date" dataDxfId="5"/>
    <tableColumn id="2" xr3:uid="{51FCA62E-DA69-4104-A37E-9140A08E32F5}" name="200121-0001" dataDxfId="4"/>
    <tableColumn id="3" xr3:uid="{382FABA4-2C39-4C41-9F81-5EFB2F91CD2A}" name="200121-0002" dataDxfId="3"/>
    <tableColumn id="4" xr3:uid="{73E2C136-30BD-43A0-B830-B8827853228C}" name="200121-0003" dataDxfId="2"/>
    <tableColumn id="5" xr3:uid="{5A8E96E5-9842-4F68-A1DD-5673C187D3DF}" name="200121-0004" dataDxfId="1"/>
    <tableColumn id="6" xr3:uid="{79746A77-09C9-4DA9-AD0E-519723A60571}" name="200121-0005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537B-4C1D-4580-929E-2711888AF2CC}">
  <dimension ref="A1:E3"/>
  <sheetViews>
    <sheetView tabSelected="1" zoomScaleNormal="100" workbookViewId="0">
      <selection activeCell="C4" sqref="C4"/>
    </sheetView>
  </sheetViews>
  <sheetFormatPr defaultRowHeight="14.4" x14ac:dyDescent="0.3"/>
  <cols>
    <col min="1" max="1" width="14.77734375" bestFit="1" customWidth="1"/>
    <col min="2" max="5" width="13.21875" customWidth="1"/>
  </cols>
  <sheetData>
    <row r="1" spans="1:5" s="1" customFormat="1" x14ac:dyDescent="0.3">
      <c r="A1" s="4" t="s">
        <v>3</v>
      </c>
      <c r="B1" s="1" t="s">
        <v>13</v>
      </c>
      <c r="C1" s="1" t="s">
        <v>2</v>
      </c>
      <c r="D1" s="1" t="s">
        <v>4</v>
      </c>
      <c r="E1" s="1" t="s">
        <v>5</v>
      </c>
    </row>
    <row r="2" spans="1:5" s="1" customFormat="1" x14ac:dyDescent="0.3">
      <c r="A2" s="13" t="s">
        <v>12</v>
      </c>
      <c r="B2" s="1" t="s">
        <v>15</v>
      </c>
    </row>
    <row r="3" spans="1:5" s="1" customFormat="1" x14ac:dyDescent="0.3">
      <c r="A3" s="14" t="s">
        <v>14</v>
      </c>
      <c r="B3" s="1">
        <v>0</v>
      </c>
      <c r="C3" s="1">
        <v>7</v>
      </c>
      <c r="D3" s="1">
        <v>19</v>
      </c>
      <c r="E3" s="1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BC6B-0310-413F-BA6F-D9F42B930036}">
  <dimension ref="A1:F17"/>
  <sheetViews>
    <sheetView zoomScaleNormal="100" workbookViewId="0">
      <selection activeCell="H9" sqref="H9"/>
    </sheetView>
  </sheetViews>
  <sheetFormatPr defaultRowHeight="14.4" x14ac:dyDescent="0.3"/>
  <cols>
    <col min="1" max="6" width="13.21875" customWidth="1"/>
  </cols>
  <sheetData>
    <row r="1" spans="1:6" x14ac:dyDescent="0.3">
      <c r="A1" s="4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3">
        <v>44652</v>
      </c>
      <c r="B2" s="1">
        <v>10</v>
      </c>
      <c r="C2" s="1">
        <v>20</v>
      </c>
      <c r="D2" s="1">
        <v>30</v>
      </c>
      <c r="E2" s="1">
        <v>40</v>
      </c>
      <c r="F2" s="1">
        <v>50</v>
      </c>
    </row>
    <row r="3" spans="1:6" x14ac:dyDescent="0.3">
      <c r="A3" s="3">
        <v>44653</v>
      </c>
      <c r="B3" s="1">
        <v>10</v>
      </c>
      <c r="C3" s="1">
        <v>20</v>
      </c>
      <c r="D3" s="1">
        <v>30</v>
      </c>
      <c r="E3" s="1">
        <v>40</v>
      </c>
      <c r="F3" s="1">
        <v>50</v>
      </c>
    </row>
    <row r="4" spans="1:6" x14ac:dyDescent="0.3">
      <c r="A4" s="3">
        <v>44654</v>
      </c>
      <c r="B4" s="1">
        <v>10</v>
      </c>
      <c r="C4" s="1">
        <v>20</v>
      </c>
      <c r="D4" s="1">
        <v>30</v>
      </c>
      <c r="E4" s="1">
        <v>40</v>
      </c>
      <c r="F4" s="1">
        <v>50</v>
      </c>
    </row>
    <row r="5" spans="1:6" x14ac:dyDescent="0.3">
      <c r="A5" s="3">
        <v>44655</v>
      </c>
      <c r="B5" s="1">
        <v>10</v>
      </c>
      <c r="C5" s="1">
        <v>20</v>
      </c>
      <c r="D5" s="1">
        <v>30</v>
      </c>
      <c r="E5" s="1">
        <v>40</v>
      </c>
      <c r="F5" s="1">
        <v>50</v>
      </c>
    </row>
    <row r="6" spans="1:6" x14ac:dyDescent="0.3">
      <c r="A6" s="3">
        <v>44656</v>
      </c>
      <c r="B6" s="1">
        <v>10</v>
      </c>
      <c r="C6" s="1">
        <v>20</v>
      </c>
      <c r="D6" s="1">
        <v>30</v>
      </c>
      <c r="E6" s="1">
        <v>40</v>
      </c>
      <c r="F6" s="1">
        <v>50</v>
      </c>
    </row>
    <row r="7" spans="1:6" x14ac:dyDescent="0.3">
      <c r="A7" s="3">
        <v>44657</v>
      </c>
      <c r="B7" s="1">
        <v>10</v>
      </c>
      <c r="C7" s="1">
        <v>20</v>
      </c>
      <c r="D7" s="1">
        <v>30</v>
      </c>
      <c r="E7" s="1">
        <v>40</v>
      </c>
      <c r="F7" s="1">
        <v>50</v>
      </c>
    </row>
    <row r="8" spans="1:6" x14ac:dyDescent="0.3">
      <c r="A8" s="3">
        <v>44658</v>
      </c>
      <c r="B8" s="1">
        <v>10</v>
      </c>
      <c r="C8" s="1">
        <v>20</v>
      </c>
      <c r="D8" s="1">
        <v>30</v>
      </c>
      <c r="E8" s="1">
        <v>40</v>
      </c>
      <c r="F8" s="1">
        <v>50</v>
      </c>
    </row>
    <row r="9" spans="1:6" x14ac:dyDescent="0.3">
      <c r="A9" s="3">
        <v>44659</v>
      </c>
      <c r="B9" s="1">
        <v>10</v>
      </c>
      <c r="C9" s="1">
        <v>20</v>
      </c>
      <c r="D9" s="1">
        <v>30</v>
      </c>
      <c r="E9" s="1">
        <v>40</v>
      </c>
      <c r="F9" s="1">
        <v>50</v>
      </c>
    </row>
    <row r="10" spans="1:6" x14ac:dyDescent="0.3">
      <c r="A10" s="3">
        <v>44660</v>
      </c>
      <c r="B10" s="1">
        <v>10</v>
      </c>
      <c r="C10" s="1">
        <v>20</v>
      </c>
      <c r="D10" s="1">
        <v>30</v>
      </c>
      <c r="E10" s="1">
        <v>40</v>
      </c>
      <c r="F10" s="1">
        <v>50</v>
      </c>
    </row>
    <row r="11" spans="1:6" x14ac:dyDescent="0.3">
      <c r="A11" s="3">
        <v>44661</v>
      </c>
      <c r="B11" s="1">
        <v>10</v>
      </c>
      <c r="C11" s="1">
        <v>20</v>
      </c>
      <c r="D11" s="1">
        <v>30</v>
      </c>
      <c r="E11" s="1">
        <v>40</v>
      </c>
      <c r="F11" s="1">
        <v>50</v>
      </c>
    </row>
    <row r="12" spans="1:6" x14ac:dyDescent="0.3">
      <c r="A12" s="3">
        <v>44662</v>
      </c>
      <c r="B12" s="1">
        <v>10</v>
      </c>
      <c r="C12" s="1">
        <v>20</v>
      </c>
      <c r="D12" s="1">
        <v>30</v>
      </c>
      <c r="E12" s="1">
        <v>40</v>
      </c>
      <c r="F12" s="1">
        <v>50</v>
      </c>
    </row>
    <row r="13" spans="1:6" x14ac:dyDescent="0.3">
      <c r="A13" s="3">
        <v>44663</v>
      </c>
      <c r="B13" s="1">
        <v>10</v>
      </c>
      <c r="C13" s="1">
        <v>20</v>
      </c>
      <c r="D13" s="1">
        <v>30</v>
      </c>
      <c r="E13" s="1">
        <v>40</v>
      </c>
      <c r="F13" s="1">
        <v>50</v>
      </c>
    </row>
    <row r="14" spans="1:6" x14ac:dyDescent="0.3">
      <c r="A14" s="3">
        <v>44664</v>
      </c>
      <c r="B14" s="1">
        <v>10</v>
      </c>
      <c r="C14" s="1">
        <v>20</v>
      </c>
      <c r="D14" s="1">
        <v>30</v>
      </c>
      <c r="E14" s="1">
        <v>40</v>
      </c>
      <c r="F14" s="1">
        <v>50</v>
      </c>
    </row>
    <row r="15" spans="1:6" x14ac:dyDescent="0.3">
      <c r="A15" s="3">
        <v>44665</v>
      </c>
      <c r="B15" s="1">
        <v>10</v>
      </c>
      <c r="C15" s="1">
        <v>20</v>
      </c>
      <c r="D15" s="1">
        <v>30</v>
      </c>
      <c r="E15" s="1">
        <v>40</v>
      </c>
      <c r="F15" s="1">
        <v>50</v>
      </c>
    </row>
    <row r="16" spans="1:6" x14ac:dyDescent="0.3">
      <c r="A16" s="3">
        <v>44666</v>
      </c>
      <c r="B16" s="1">
        <v>10</v>
      </c>
      <c r="C16" s="1">
        <v>20</v>
      </c>
      <c r="D16" s="1">
        <v>30</v>
      </c>
      <c r="E16" s="1">
        <v>40</v>
      </c>
      <c r="F16" s="1">
        <v>50</v>
      </c>
    </row>
    <row r="17" spans="1:6" x14ac:dyDescent="0.3">
      <c r="A17" s="3">
        <v>44667</v>
      </c>
      <c r="B17" s="1">
        <v>10</v>
      </c>
      <c r="C17" s="1">
        <v>20</v>
      </c>
      <c r="D17" s="1">
        <v>30</v>
      </c>
      <c r="E17" s="1">
        <v>40</v>
      </c>
      <c r="F17" s="1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DAFC-6322-4A89-8964-70CD2731E5E8}">
  <dimension ref="A1:F17"/>
  <sheetViews>
    <sheetView zoomScaleNormal="100" workbookViewId="0">
      <selection activeCell="H6" sqref="H6"/>
    </sheetView>
  </sheetViews>
  <sheetFormatPr defaultRowHeight="14.4" x14ac:dyDescent="0.3"/>
  <cols>
    <col min="1" max="6" width="13.21875" customWidth="1"/>
  </cols>
  <sheetData>
    <row r="1" spans="1:6" x14ac:dyDescent="0.3">
      <c r="A1" s="4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3">
        <v>44652</v>
      </c>
      <c r="B2" s="1">
        <v>1</v>
      </c>
      <c r="C2" s="1">
        <v>5</v>
      </c>
      <c r="D2" s="1">
        <v>10</v>
      </c>
      <c r="E2" s="1">
        <v>15</v>
      </c>
      <c r="F2" s="1">
        <v>20</v>
      </c>
    </row>
    <row r="3" spans="1:6" x14ac:dyDescent="0.3">
      <c r="A3" s="3">
        <v>44653</v>
      </c>
      <c r="B3" s="1">
        <v>1</v>
      </c>
      <c r="C3" s="1">
        <v>5</v>
      </c>
      <c r="D3" s="1">
        <v>10</v>
      </c>
      <c r="E3" s="1">
        <v>15</v>
      </c>
      <c r="F3" s="1">
        <v>20</v>
      </c>
    </row>
    <row r="4" spans="1:6" x14ac:dyDescent="0.3">
      <c r="A4" s="3">
        <v>44654</v>
      </c>
      <c r="B4" s="1">
        <v>1</v>
      </c>
      <c r="C4" s="1">
        <v>5</v>
      </c>
      <c r="D4" s="1">
        <v>10</v>
      </c>
      <c r="E4" s="1">
        <v>15</v>
      </c>
      <c r="F4" s="1">
        <v>20</v>
      </c>
    </row>
    <row r="5" spans="1:6" x14ac:dyDescent="0.3">
      <c r="A5" s="3">
        <v>44655</v>
      </c>
      <c r="B5" s="1">
        <v>1</v>
      </c>
      <c r="C5" s="1">
        <v>5</v>
      </c>
      <c r="D5" s="1">
        <v>10</v>
      </c>
      <c r="E5" s="1">
        <v>15</v>
      </c>
      <c r="F5" s="1">
        <v>20</v>
      </c>
    </row>
    <row r="6" spans="1:6" x14ac:dyDescent="0.3">
      <c r="A6" s="3">
        <v>44656</v>
      </c>
      <c r="B6" s="1">
        <v>1</v>
      </c>
      <c r="C6" s="1">
        <v>5</v>
      </c>
      <c r="D6" s="1">
        <v>10</v>
      </c>
      <c r="E6" s="1">
        <v>15</v>
      </c>
      <c r="F6" s="1">
        <v>20</v>
      </c>
    </row>
    <row r="7" spans="1:6" x14ac:dyDescent="0.3">
      <c r="A7" s="3">
        <v>44657</v>
      </c>
      <c r="B7" s="1">
        <v>1</v>
      </c>
      <c r="C7" s="1">
        <v>5</v>
      </c>
      <c r="D7" s="1">
        <v>10</v>
      </c>
      <c r="E7" s="1">
        <v>15</v>
      </c>
      <c r="F7" s="1">
        <v>20</v>
      </c>
    </row>
    <row r="8" spans="1:6" x14ac:dyDescent="0.3">
      <c r="A8" s="3">
        <v>44658</v>
      </c>
      <c r="B8" s="1">
        <v>1</v>
      </c>
      <c r="C8" s="1">
        <v>5</v>
      </c>
      <c r="D8" s="1">
        <v>10</v>
      </c>
      <c r="E8" s="1">
        <v>15</v>
      </c>
      <c r="F8" s="1">
        <v>20</v>
      </c>
    </row>
    <row r="9" spans="1:6" x14ac:dyDescent="0.3">
      <c r="A9" s="3">
        <v>44659</v>
      </c>
      <c r="B9" s="1">
        <v>1</v>
      </c>
      <c r="C9" s="1">
        <v>5</v>
      </c>
      <c r="D9" s="1">
        <v>10</v>
      </c>
      <c r="E9" s="1">
        <v>15</v>
      </c>
      <c r="F9" s="1">
        <v>20</v>
      </c>
    </row>
    <row r="10" spans="1:6" x14ac:dyDescent="0.3">
      <c r="A10" s="3">
        <v>44660</v>
      </c>
      <c r="B10" s="1">
        <v>1</v>
      </c>
      <c r="C10" s="1">
        <v>5</v>
      </c>
      <c r="D10" s="1">
        <v>10</v>
      </c>
      <c r="E10" s="1">
        <v>15</v>
      </c>
      <c r="F10" s="1">
        <v>20</v>
      </c>
    </row>
    <row r="11" spans="1:6" x14ac:dyDescent="0.3">
      <c r="A11" s="3">
        <v>44661</v>
      </c>
      <c r="B11" s="1">
        <v>1</v>
      </c>
      <c r="C11" s="1">
        <v>5</v>
      </c>
      <c r="D11" s="1">
        <v>10</v>
      </c>
      <c r="E11" s="1">
        <v>15</v>
      </c>
      <c r="F11" s="1">
        <v>20</v>
      </c>
    </row>
    <row r="12" spans="1:6" x14ac:dyDescent="0.3">
      <c r="A12" s="3">
        <v>44662</v>
      </c>
      <c r="B12" s="1">
        <v>1</v>
      </c>
      <c r="C12" s="1">
        <v>5</v>
      </c>
      <c r="D12" s="1">
        <v>10</v>
      </c>
      <c r="E12" s="1">
        <v>15</v>
      </c>
      <c r="F12" s="1">
        <v>20</v>
      </c>
    </row>
    <row r="13" spans="1:6" x14ac:dyDescent="0.3">
      <c r="A13" s="3">
        <v>44663</v>
      </c>
      <c r="B13" s="1">
        <v>1</v>
      </c>
      <c r="C13" s="1">
        <v>5</v>
      </c>
      <c r="D13" s="1">
        <v>10</v>
      </c>
      <c r="E13" s="1">
        <v>15</v>
      </c>
      <c r="F13" s="1">
        <v>20</v>
      </c>
    </row>
    <row r="14" spans="1:6" x14ac:dyDescent="0.3">
      <c r="A14" s="3">
        <v>44664</v>
      </c>
      <c r="B14" s="1">
        <v>1</v>
      </c>
      <c r="C14" s="1">
        <v>5</v>
      </c>
      <c r="D14" s="1">
        <v>10</v>
      </c>
      <c r="E14" s="1">
        <v>15</v>
      </c>
      <c r="F14" s="1">
        <v>20</v>
      </c>
    </row>
    <row r="15" spans="1:6" x14ac:dyDescent="0.3">
      <c r="A15" s="3">
        <v>44665</v>
      </c>
      <c r="B15" s="1">
        <v>1</v>
      </c>
      <c r="C15" s="1">
        <v>5</v>
      </c>
      <c r="D15" s="1">
        <v>10</v>
      </c>
      <c r="E15" s="1">
        <v>15</v>
      </c>
      <c r="F15" s="1">
        <v>20</v>
      </c>
    </row>
    <row r="16" spans="1:6" x14ac:dyDescent="0.3">
      <c r="A16" s="3">
        <v>44666</v>
      </c>
      <c r="B16" s="1">
        <v>1</v>
      </c>
      <c r="C16" s="1">
        <v>5</v>
      </c>
      <c r="D16" s="1">
        <v>10</v>
      </c>
      <c r="E16" s="1">
        <v>15</v>
      </c>
      <c r="F16" s="1">
        <v>20</v>
      </c>
    </row>
    <row r="17" spans="1:6" x14ac:dyDescent="0.3">
      <c r="A17" s="3">
        <v>44667</v>
      </c>
      <c r="B17" s="1">
        <v>1</v>
      </c>
      <c r="C17" s="1">
        <v>5</v>
      </c>
      <c r="D17" s="1">
        <v>10</v>
      </c>
      <c r="E17" s="1">
        <v>15</v>
      </c>
      <c r="F17" s="1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786A-5F20-4ACC-AD12-72D8E7C4D79D}">
  <dimension ref="A1:F17"/>
  <sheetViews>
    <sheetView zoomScaleNormal="100" workbookViewId="0">
      <selection activeCell="I10" sqref="I10"/>
    </sheetView>
  </sheetViews>
  <sheetFormatPr defaultRowHeight="14.4" x14ac:dyDescent="0.3"/>
  <cols>
    <col min="1" max="6" width="13.21875" customWidth="1"/>
  </cols>
  <sheetData>
    <row r="1" spans="1:6" x14ac:dyDescent="0.3">
      <c r="A1" s="4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2">
        <v>44652</v>
      </c>
      <c r="B2">
        <f>LCL!B2+(UCL!B2-LCL!B2)/2</f>
        <v>5.5</v>
      </c>
      <c r="C2">
        <f>LCL!C2+(UCL!C2-LCL!C2)/2</f>
        <v>12.5</v>
      </c>
      <c r="D2">
        <f>LCL!D2+(UCL!D2-LCL!D2)/2</f>
        <v>20</v>
      </c>
      <c r="E2">
        <f>LCL!E2+(UCL!E2-LCL!E2)/2</f>
        <v>27.5</v>
      </c>
      <c r="F2">
        <f>LCL!F2+(UCL!F2-LCL!F2)/2</f>
        <v>35</v>
      </c>
    </row>
    <row r="3" spans="1:6" x14ac:dyDescent="0.3">
      <c r="A3" s="2">
        <v>44653</v>
      </c>
      <c r="B3">
        <f>LCL!B3+(UCL!B3-LCL!B3)/2</f>
        <v>5.5</v>
      </c>
      <c r="C3">
        <f>LCL!C3+(UCL!C3-LCL!C3)/2</f>
        <v>12.5</v>
      </c>
      <c r="D3">
        <f>LCL!D3+(UCL!D3-LCL!D3)/2</f>
        <v>20</v>
      </c>
      <c r="E3">
        <f>LCL!E3+(UCL!E3-LCL!E3)/2</f>
        <v>27.5</v>
      </c>
      <c r="F3">
        <f>LCL!F3+(UCL!F3-LCL!F3)/2</f>
        <v>35</v>
      </c>
    </row>
    <row r="4" spans="1:6" x14ac:dyDescent="0.3">
      <c r="A4" s="2">
        <v>44654</v>
      </c>
      <c r="B4">
        <f>LCL!B4+(UCL!B4-LCL!B4)/2</f>
        <v>5.5</v>
      </c>
      <c r="C4">
        <f>LCL!C4+(UCL!C4-LCL!C4)/2</f>
        <v>12.5</v>
      </c>
      <c r="D4">
        <f>LCL!D4+(UCL!D4-LCL!D4)/2</f>
        <v>20</v>
      </c>
      <c r="E4">
        <f>LCL!E4+(UCL!E4-LCL!E4)/2</f>
        <v>27.5</v>
      </c>
      <c r="F4">
        <f>LCL!F4+(UCL!F4-LCL!F4)/2</f>
        <v>35</v>
      </c>
    </row>
    <row r="5" spans="1:6" x14ac:dyDescent="0.3">
      <c r="A5" s="2">
        <v>44655</v>
      </c>
      <c r="B5">
        <f>LCL!B5+(UCL!B5-LCL!B5)/2</f>
        <v>5.5</v>
      </c>
      <c r="C5">
        <f>LCL!C5+(UCL!C5-LCL!C5)/2</f>
        <v>12.5</v>
      </c>
      <c r="D5">
        <f>LCL!D5+(UCL!D5-LCL!D5)/2</f>
        <v>20</v>
      </c>
      <c r="E5">
        <f>LCL!E5+(UCL!E5-LCL!E5)/2</f>
        <v>27.5</v>
      </c>
      <c r="F5">
        <f>LCL!F5+(UCL!F5-LCL!F5)/2</f>
        <v>35</v>
      </c>
    </row>
    <row r="6" spans="1:6" x14ac:dyDescent="0.3">
      <c r="A6" s="2">
        <v>44656</v>
      </c>
      <c r="B6">
        <f>LCL!B6+(UCL!B6-LCL!B6)/2</f>
        <v>5.5</v>
      </c>
      <c r="C6">
        <f>LCL!C6+(UCL!C6-LCL!C6)/2</f>
        <v>12.5</v>
      </c>
      <c r="D6">
        <f>LCL!D6+(UCL!D6-LCL!D6)/2</f>
        <v>20</v>
      </c>
      <c r="E6">
        <f>LCL!E6+(UCL!E6-LCL!E6)/2</f>
        <v>27.5</v>
      </c>
      <c r="F6">
        <f>LCL!F6+(UCL!F6-LCL!F6)/2</f>
        <v>35</v>
      </c>
    </row>
    <row r="7" spans="1:6" x14ac:dyDescent="0.3">
      <c r="A7" s="2">
        <v>44657</v>
      </c>
      <c r="B7">
        <f>LCL!B7+(UCL!B7-LCL!B7)/2</f>
        <v>5.5</v>
      </c>
      <c r="C7">
        <f>LCL!C7+(UCL!C7-LCL!C7)/2</f>
        <v>12.5</v>
      </c>
      <c r="D7">
        <f>LCL!D7+(UCL!D7-LCL!D7)/2</f>
        <v>20</v>
      </c>
      <c r="E7">
        <f>LCL!E7+(UCL!E7-LCL!E7)/2</f>
        <v>27.5</v>
      </c>
      <c r="F7">
        <f>LCL!F7+(UCL!F7-LCL!F7)/2</f>
        <v>35</v>
      </c>
    </row>
    <row r="8" spans="1:6" x14ac:dyDescent="0.3">
      <c r="A8" s="2">
        <v>44658</v>
      </c>
      <c r="B8">
        <f>LCL!B8+(UCL!B8-LCL!B8)/2</f>
        <v>5.5</v>
      </c>
      <c r="C8">
        <f>LCL!C8+(UCL!C8-LCL!C8)/2</f>
        <v>12.5</v>
      </c>
      <c r="D8">
        <f>LCL!D8+(UCL!D8-LCL!D8)/2</f>
        <v>20</v>
      </c>
      <c r="E8">
        <f>LCL!E8+(UCL!E8-LCL!E8)/2</f>
        <v>27.5</v>
      </c>
      <c r="F8">
        <f>LCL!F8+(UCL!F8-LCL!F8)/2</f>
        <v>35</v>
      </c>
    </row>
    <row r="9" spans="1:6" x14ac:dyDescent="0.3">
      <c r="A9" s="2">
        <v>44659</v>
      </c>
      <c r="B9">
        <f>LCL!B9+(UCL!B9-LCL!B9)/2</f>
        <v>5.5</v>
      </c>
      <c r="C9">
        <f>LCL!C9+(UCL!C9-LCL!C9)/2</f>
        <v>12.5</v>
      </c>
      <c r="D9">
        <f>LCL!D9+(UCL!D9-LCL!D9)/2</f>
        <v>20</v>
      </c>
      <c r="E9">
        <f>LCL!E9+(UCL!E9-LCL!E9)/2</f>
        <v>27.5</v>
      </c>
      <c r="F9">
        <f>LCL!F9+(UCL!F9-LCL!F9)/2</f>
        <v>35</v>
      </c>
    </row>
    <row r="10" spans="1:6" x14ac:dyDescent="0.3">
      <c r="A10" s="2">
        <v>44660</v>
      </c>
      <c r="B10">
        <f>LCL!B10+(UCL!B10-LCL!B10)/2</f>
        <v>5.5</v>
      </c>
      <c r="C10">
        <f>LCL!C10+(UCL!C10-LCL!C10)/2</f>
        <v>12.5</v>
      </c>
      <c r="D10">
        <f>LCL!D10+(UCL!D10-LCL!D10)/2</f>
        <v>20</v>
      </c>
      <c r="E10">
        <f>LCL!E10+(UCL!E10-LCL!E10)/2</f>
        <v>27.5</v>
      </c>
      <c r="F10">
        <f>LCL!F10+(UCL!F10-LCL!F10)/2</f>
        <v>35</v>
      </c>
    </row>
    <row r="11" spans="1:6" x14ac:dyDescent="0.3">
      <c r="A11" s="2">
        <v>44661</v>
      </c>
      <c r="B11">
        <f>LCL!B11+(UCL!B11-LCL!B11)/2</f>
        <v>5.5</v>
      </c>
      <c r="C11">
        <f>LCL!C11+(UCL!C11-LCL!C11)/2</f>
        <v>12.5</v>
      </c>
      <c r="D11">
        <f>LCL!D11+(UCL!D11-LCL!D11)/2</f>
        <v>20</v>
      </c>
      <c r="E11">
        <f>LCL!E11+(UCL!E11-LCL!E11)/2</f>
        <v>27.5</v>
      </c>
      <c r="F11">
        <f>LCL!F11+(UCL!F11-LCL!F11)/2</f>
        <v>35</v>
      </c>
    </row>
    <row r="12" spans="1:6" x14ac:dyDescent="0.3">
      <c r="A12" s="2">
        <v>44662</v>
      </c>
      <c r="B12">
        <f>LCL!B12+(UCL!B12-LCL!B12)/2</f>
        <v>5.5</v>
      </c>
      <c r="C12">
        <f>LCL!C12+(UCL!C12-LCL!C12)/2</f>
        <v>12.5</v>
      </c>
      <c r="D12">
        <f>LCL!D12+(UCL!D12-LCL!D12)/2</f>
        <v>20</v>
      </c>
      <c r="E12">
        <f>LCL!E12+(UCL!E12-LCL!E12)/2</f>
        <v>27.5</v>
      </c>
      <c r="F12">
        <f>LCL!F12+(UCL!F12-LCL!F12)/2</f>
        <v>35</v>
      </c>
    </row>
    <row r="13" spans="1:6" x14ac:dyDescent="0.3">
      <c r="A13" s="2">
        <v>44663</v>
      </c>
      <c r="B13">
        <f>LCL!B13+(UCL!B13-LCL!B13)/2</f>
        <v>5.5</v>
      </c>
      <c r="C13">
        <f>LCL!C13+(UCL!C13-LCL!C13)/2</f>
        <v>12.5</v>
      </c>
      <c r="D13">
        <f>LCL!D13+(UCL!D13-LCL!D13)/2</f>
        <v>20</v>
      </c>
      <c r="E13">
        <f>LCL!E13+(UCL!E13-LCL!E13)/2</f>
        <v>27.5</v>
      </c>
      <c r="F13">
        <f>LCL!F13+(UCL!F13-LCL!F13)/2</f>
        <v>35</v>
      </c>
    </row>
    <row r="14" spans="1:6" x14ac:dyDescent="0.3">
      <c r="A14" s="2">
        <v>44664</v>
      </c>
      <c r="B14">
        <f>LCL!B14+(UCL!B14-LCL!B14)/2</f>
        <v>5.5</v>
      </c>
      <c r="C14">
        <f>LCL!C14+(UCL!C14-LCL!C14)/2</f>
        <v>12.5</v>
      </c>
      <c r="D14">
        <f>LCL!D14+(UCL!D14-LCL!D14)/2</f>
        <v>20</v>
      </c>
      <c r="E14">
        <f>LCL!E14+(UCL!E14-LCL!E14)/2</f>
        <v>27.5</v>
      </c>
      <c r="F14">
        <f>LCL!F14+(UCL!F14-LCL!F14)/2</f>
        <v>35</v>
      </c>
    </row>
    <row r="15" spans="1:6" x14ac:dyDescent="0.3">
      <c r="A15" s="2">
        <v>44665</v>
      </c>
      <c r="B15">
        <f>LCL!B15+(UCL!B15-LCL!B15)/2</f>
        <v>5.5</v>
      </c>
      <c r="C15">
        <f>LCL!C15+(UCL!C15-LCL!C15)/2</f>
        <v>12.5</v>
      </c>
      <c r="D15">
        <f>LCL!D15+(UCL!D15-LCL!D15)/2</f>
        <v>20</v>
      </c>
      <c r="E15">
        <f>LCL!E15+(UCL!E15-LCL!E15)/2</f>
        <v>27.5</v>
      </c>
      <c r="F15">
        <f>LCL!F15+(UCL!F15-LCL!F15)/2</f>
        <v>35</v>
      </c>
    </row>
    <row r="16" spans="1:6" x14ac:dyDescent="0.3">
      <c r="A16" s="2">
        <v>44666</v>
      </c>
      <c r="B16">
        <f>LCL!B16+(UCL!B16-LCL!B16)/2</f>
        <v>5.5</v>
      </c>
      <c r="C16">
        <f>LCL!C16+(UCL!C16-LCL!C16)/2</f>
        <v>12.5</v>
      </c>
      <c r="D16">
        <f>LCL!D16+(UCL!D16-LCL!D16)/2</f>
        <v>20</v>
      </c>
      <c r="E16">
        <f>LCL!E16+(UCL!E16-LCL!E16)/2</f>
        <v>27.5</v>
      </c>
      <c r="F16">
        <f>LCL!F16+(UCL!F16-LCL!F16)/2</f>
        <v>35</v>
      </c>
    </row>
    <row r="17" spans="1:6" x14ac:dyDescent="0.3">
      <c r="A17" s="2">
        <v>44667</v>
      </c>
      <c r="B17">
        <f>LCL!B17+(UCL!B17-LCL!B17)/2</f>
        <v>5.5</v>
      </c>
      <c r="C17">
        <f>LCL!C17+(UCL!C17-LCL!C17)/2</f>
        <v>12.5</v>
      </c>
      <c r="D17">
        <f>LCL!D17+(UCL!D17-LCL!D17)/2</f>
        <v>20</v>
      </c>
      <c r="E17">
        <f>LCL!E17+(UCL!E17-LCL!E17)/2</f>
        <v>27.5</v>
      </c>
      <c r="F17">
        <f>LCL!F17+(UCL!F17-LCL!F17)/2</f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F6E8-BA55-43DE-B5F1-C4F260CE55A7}">
  <dimension ref="A1:F2"/>
  <sheetViews>
    <sheetView zoomScaleNormal="100" workbookViewId="0">
      <selection activeCell="I8" sqref="I8"/>
    </sheetView>
  </sheetViews>
  <sheetFormatPr defaultRowHeight="14.4" x14ac:dyDescent="0.3"/>
  <cols>
    <col min="1" max="1" width="14.88671875" customWidth="1"/>
    <col min="2" max="6" width="13.21875" customWidth="1"/>
  </cols>
  <sheetData>
    <row r="1" spans="1:6" x14ac:dyDescent="0.3">
      <c r="A1" s="4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3" t="str">
        <f ca="1">OFFSET('Current Value'!A1,COUNTA('Current Value'!A:A)-1,0)</f>
        <v>07/01/2022</v>
      </c>
      <c r="B2" s="1" t="e">
        <f ca="1">IF(VLOOKUP($A$2,'Current Value'!$A$1:$E$3,2,TRUE) &gt; VLOOKUP($A$2,UCL!$A$1:$F$16,2,TRUE),"OVER",IF(VLOOKUP($A$2,'Current Value'!$A$1:$E$3,2,TRUE) &lt; VLOOKUP($A$2,LCL!$A$1:$F$16,2,TRUE),"UNDER","NORMAL"))</f>
        <v>#N/A</v>
      </c>
      <c r="C2" s="1" t="e">
        <f ca="1">IF(VLOOKUP($A$2,'Current Value'!$A$1:$E$3,3,TRUE) &gt; VLOOKUP($A$2,UCL!$A$1:$F$16,3,TRUE),"OVER",IF(VLOOKUP($A$2,'Current Value'!$A$1:$E$3,3,TRUE) &lt; VLOOKUP($A$2,LCL!$A$1:$F$16,3,TRUE),"UNDER","NORMAL"))</f>
        <v>#N/A</v>
      </c>
      <c r="D2" s="1" t="e">
        <f ca="1">IF(VLOOKUP($A$2,'Current Value'!$A$1:$E$3,4,TRUE) &gt; VLOOKUP($A$2,UCL!$A$1:$F$16,4,TRUE),"OVER",IF(VLOOKUP($A$2,'Current Value'!$A$1:$E$3,4,TRUE) &lt; VLOOKUP($A$2,LCL!$A$1:$F$16,4,TRUE),"UNDER","NORMAL"))</f>
        <v>#N/A</v>
      </c>
      <c r="E2" s="1" t="e">
        <f ca="1">IF(VLOOKUP($A$2,'Current Value'!$A$1:$E$3,5,TRUE) &gt; VLOOKUP($A$2,UCL!$A$1:$F$16,5,TRUE),"OVER",IF(VLOOKUP($A$2,'Current Value'!$A$1:$E$3,5,TRUE) &lt; VLOOKUP($A$2,LCL!$A$1:$F$16,5,TRUE),"UNDER","NORMAL"))</f>
        <v>#N/A</v>
      </c>
      <c r="F2" s="1" t="e">
        <f ca="1">IF(VLOOKUP($A$2,'Current Value'!$A$1:$E$3,6,TRUE) &gt; VLOOKUP($A$2,UCL!$A$1:$F$16,6,TRUE),"OVER",IF(VLOOKUP($A$2,'Current Value'!$A$1:$E$3,6,TRUE) &lt; VLOOKUP($A$2,LCL!$A$1:$F$16,6,TRUE),"UNDER","NORMAL"))</f>
        <v>#N/A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5FA2-1D4A-453E-9C27-9531FB987904}">
  <dimension ref="A1:F16"/>
  <sheetViews>
    <sheetView zoomScaleNormal="100" workbookViewId="0">
      <selection activeCell="J29" sqref="J29"/>
    </sheetView>
  </sheetViews>
  <sheetFormatPr defaultRowHeight="14.4" x14ac:dyDescent="0.3"/>
  <cols>
    <col min="1" max="1" width="13.21875" customWidth="1"/>
    <col min="2" max="2" width="17.5546875" customWidth="1"/>
    <col min="3" max="3" width="14.77734375" customWidth="1"/>
    <col min="4" max="6" width="13.21875" customWidth="1"/>
  </cols>
  <sheetData>
    <row r="1" spans="1:6" x14ac:dyDescent="0.3">
      <c r="A1" s="4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3" t="str">
        <f ca="1">OFFSET('Current Value'!A1,COUNTA('Current Value'!A:A)-1,0)</f>
        <v>07/01/2022</v>
      </c>
      <c r="B2" s="1" t="e">
        <f ca="1" xml:space="preserve"> VLOOKUP($A2,'Current Value'!$A$1:$E$3,2,TRUE) - VLOOKUP($A2,AVG!$A$1:$F$16,2,TRUE)</f>
        <v>#N/A</v>
      </c>
      <c r="C2" s="1" t="e">
        <f ca="1" xml:space="preserve"> VLOOKUP($A2,'Current Value'!$A$1:$E$3,3,TRUE) - VLOOKUP($A2,AVG!$A$1:$F$16,3,TRUE)</f>
        <v>#N/A</v>
      </c>
      <c r="D2" s="1" t="e">
        <f ca="1" xml:space="preserve"> VLOOKUP($A2,'Current Value'!$A$1:$E$3,4,TRUE) - VLOOKUP($A2,AVG!$A$1:$F$16,4,TRUE)</f>
        <v>#N/A</v>
      </c>
      <c r="E2" s="1" t="e">
        <f ca="1" xml:space="preserve"> VLOOKUP($A2,'Current Value'!$A$1:$E$3,5,TRUE) - VLOOKUP($A2,AVG!$A$1:$F$16,5,TRUE)</f>
        <v>#N/A</v>
      </c>
      <c r="F2" s="1" t="e">
        <f ca="1" xml:space="preserve"> VLOOKUP($A2,'Current Value'!$A$1:$E$3,6,TRUE) - VLOOKUP($A2,AVG!$A$1:$F$16,6,TRUE)</f>
        <v>#N/A</v>
      </c>
    </row>
    <row r="3" spans="1:6" x14ac:dyDescent="0.3">
      <c r="A3" s="3">
        <f ca="1">A2-1</f>
        <v>44742</v>
      </c>
      <c r="B3" s="1" t="e">
        <f ca="1" xml:space="preserve"> VLOOKUP($A3,'Current Value'!$A$1:$E$3,2,TRUE) - VLOOKUP($A3,AVG!$A$1:$F$16,2,TRUE)</f>
        <v>#N/A</v>
      </c>
      <c r="C3" s="1" t="e">
        <f ca="1" xml:space="preserve"> VLOOKUP($A3,'Current Value'!$A$1:$E$3,3,TRUE) - VLOOKUP($A3,AVG!$A$1:$F$16,3,TRUE)</f>
        <v>#N/A</v>
      </c>
      <c r="D3" s="1" t="e">
        <f ca="1" xml:space="preserve"> VLOOKUP($A3,'Current Value'!$A$1:$E$3,4,TRUE) - VLOOKUP($A3,AVG!$A$1:$F$16,4,TRUE)</f>
        <v>#N/A</v>
      </c>
      <c r="E3" s="1" t="e">
        <f ca="1" xml:space="preserve"> VLOOKUP($A3,'Current Value'!$A$1:$E$3,5,TRUE) - VLOOKUP($A3,AVG!$A$1:$F$16,5,TRUE)</f>
        <v>#N/A</v>
      </c>
      <c r="F3" s="1" t="e">
        <f ca="1" xml:space="preserve"> VLOOKUP($A3,'Current Value'!$A$1:$E$3,6,TRUE) - VLOOKUP($A3,AVG!$A$1:$F$16,6,TRUE)</f>
        <v>#N/A</v>
      </c>
    </row>
    <row r="4" spans="1:6" x14ac:dyDescent="0.3">
      <c r="A4" s="3">
        <f t="shared" ref="A4:A9" ca="1" si="0">A3-1</f>
        <v>44741</v>
      </c>
      <c r="B4" s="1" t="e">
        <f ca="1" xml:space="preserve"> VLOOKUP($A4,'Current Value'!$A$1:$E$3,2,TRUE) - VLOOKUP($A4,AVG!$A$1:$F$16,2,TRUE)</f>
        <v>#N/A</v>
      </c>
      <c r="C4" s="1" t="e">
        <f ca="1" xml:space="preserve"> VLOOKUP($A4,'Current Value'!$A$1:$E$3,3,TRUE) - VLOOKUP($A4,AVG!$A$1:$F$16,3,TRUE)</f>
        <v>#N/A</v>
      </c>
      <c r="D4" s="1" t="e">
        <f ca="1" xml:space="preserve"> VLOOKUP($A4,'Current Value'!$A$1:$E$3,4,TRUE) - VLOOKUP($A4,AVG!$A$1:$F$16,4,TRUE)</f>
        <v>#N/A</v>
      </c>
      <c r="E4" s="1" t="e">
        <f ca="1" xml:space="preserve"> VLOOKUP($A4,'Current Value'!$A$1:$E$3,5,TRUE) - VLOOKUP($A4,AVG!$A$1:$F$16,5,TRUE)</f>
        <v>#N/A</v>
      </c>
      <c r="F4" s="1" t="e">
        <f ca="1" xml:space="preserve"> VLOOKUP($A4,'Current Value'!$A$1:$E$3,6,TRUE) - VLOOKUP($A4,AVG!$A$1:$F$16,6,TRUE)</f>
        <v>#N/A</v>
      </c>
    </row>
    <row r="5" spans="1:6" x14ac:dyDescent="0.3">
      <c r="A5" s="3">
        <f t="shared" ca="1" si="0"/>
        <v>44740</v>
      </c>
      <c r="B5" s="1" t="e">
        <f ca="1" xml:space="preserve"> VLOOKUP($A5,'Current Value'!$A$1:$E$3,2,TRUE) - VLOOKUP($A5,AVG!$A$1:$F$16,2,TRUE)</f>
        <v>#N/A</v>
      </c>
      <c r="C5" s="1" t="e">
        <f ca="1" xml:space="preserve"> VLOOKUP($A5,'Current Value'!$A$1:$E$3,3,TRUE) - VLOOKUP($A5,AVG!$A$1:$F$16,3,TRUE)</f>
        <v>#N/A</v>
      </c>
      <c r="D5" s="1" t="e">
        <f ca="1" xml:space="preserve"> VLOOKUP($A5,'Current Value'!$A$1:$E$3,4,TRUE) - VLOOKUP($A5,AVG!$A$1:$F$16,4,TRUE)</f>
        <v>#N/A</v>
      </c>
      <c r="E5" s="1" t="e">
        <f ca="1" xml:space="preserve"> VLOOKUP($A5,'Current Value'!$A$1:$E$3,5,TRUE) - VLOOKUP($A5,AVG!$A$1:$F$16,5,TRUE)</f>
        <v>#N/A</v>
      </c>
      <c r="F5" s="1" t="e">
        <f ca="1" xml:space="preserve"> VLOOKUP($A5,'Current Value'!$A$1:$E$3,6,TRUE) - VLOOKUP($A5,AVG!$A$1:$F$16,6,TRUE)</f>
        <v>#N/A</v>
      </c>
    </row>
    <row r="6" spans="1:6" x14ac:dyDescent="0.3">
      <c r="A6" s="3">
        <f t="shared" ca="1" si="0"/>
        <v>44739</v>
      </c>
      <c r="B6" s="1" t="e">
        <f ca="1" xml:space="preserve"> VLOOKUP($A6,'Current Value'!$A$1:$E$3,2,TRUE) - VLOOKUP($A6,AVG!$A$1:$F$16,2,TRUE)</f>
        <v>#N/A</v>
      </c>
      <c r="C6" s="1" t="e">
        <f ca="1" xml:space="preserve"> VLOOKUP($A6,'Current Value'!$A$1:$E$3,3,TRUE) - VLOOKUP($A6,AVG!$A$1:$F$16,3,TRUE)</f>
        <v>#N/A</v>
      </c>
      <c r="D6" s="1" t="e">
        <f ca="1" xml:space="preserve"> VLOOKUP($A6,'Current Value'!$A$1:$E$3,4,TRUE) - VLOOKUP($A6,AVG!$A$1:$F$16,4,TRUE)</f>
        <v>#N/A</v>
      </c>
      <c r="E6" s="1" t="e">
        <f ca="1" xml:space="preserve"> VLOOKUP($A6,'Current Value'!$A$1:$E$3,5,TRUE) - VLOOKUP($A6,AVG!$A$1:$F$16,5,TRUE)</f>
        <v>#N/A</v>
      </c>
      <c r="F6" s="1" t="e">
        <f ca="1" xml:space="preserve"> VLOOKUP($A6,'Current Value'!$A$1:$E$3,6,TRUE) - VLOOKUP($A6,AVG!$A$1:$F$16,6,TRUE)</f>
        <v>#N/A</v>
      </c>
    </row>
    <row r="7" spans="1:6" x14ac:dyDescent="0.3">
      <c r="A7" s="3">
        <f t="shared" ca="1" si="0"/>
        <v>44738</v>
      </c>
      <c r="B7" s="1" t="e">
        <f ca="1" xml:space="preserve"> VLOOKUP($A7,'Current Value'!$A$1:$E$3,2,TRUE) - VLOOKUP($A7,AVG!$A$1:$F$16,2,TRUE)</f>
        <v>#N/A</v>
      </c>
      <c r="C7" s="1" t="e">
        <f ca="1" xml:space="preserve"> VLOOKUP($A7,'Current Value'!$A$1:$E$3,3,TRUE) - VLOOKUP($A7,AVG!$A$1:$F$16,3,TRUE)</f>
        <v>#N/A</v>
      </c>
      <c r="D7" s="1" t="e">
        <f ca="1" xml:space="preserve"> VLOOKUP($A7,'Current Value'!$A$1:$E$3,4,TRUE) - VLOOKUP($A7,AVG!$A$1:$F$16,4,TRUE)</f>
        <v>#N/A</v>
      </c>
      <c r="E7" s="1" t="e">
        <f ca="1" xml:space="preserve"> VLOOKUP($A7,'Current Value'!$A$1:$E$3,5,TRUE) - VLOOKUP($A7,AVG!$A$1:$F$16,5,TRUE)</f>
        <v>#N/A</v>
      </c>
      <c r="F7" s="1" t="e">
        <f ca="1" xml:space="preserve"> VLOOKUP($A7,'Current Value'!$A$1:$E$3,6,TRUE) - VLOOKUP($A7,AVG!$A$1:$F$16,6,TRUE)</f>
        <v>#N/A</v>
      </c>
    </row>
    <row r="8" spans="1:6" x14ac:dyDescent="0.3">
      <c r="A8" s="3">
        <f t="shared" ca="1" si="0"/>
        <v>44737</v>
      </c>
      <c r="B8" s="1" t="e">
        <f ca="1" xml:space="preserve"> VLOOKUP($A8,'Current Value'!$A$1:$E$3,2,TRUE) - VLOOKUP($A8,AVG!$A$1:$F$16,2,TRUE)</f>
        <v>#N/A</v>
      </c>
      <c r="C8" s="1" t="e">
        <f ca="1" xml:space="preserve"> VLOOKUP($A8,'Current Value'!$A$1:$E$3,3,TRUE) - VLOOKUP($A8,AVG!$A$1:$F$16,3,TRUE)</f>
        <v>#N/A</v>
      </c>
      <c r="D8" s="1" t="e">
        <f ca="1" xml:space="preserve"> VLOOKUP($A8,'Current Value'!$A$1:$E$3,4,TRUE) - VLOOKUP($A8,AVG!$A$1:$F$16,4,TRUE)</f>
        <v>#N/A</v>
      </c>
      <c r="E8" s="1" t="e">
        <f ca="1" xml:space="preserve"> VLOOKUP($A8,'Current Value'!$A$1:$E$3,5,TRUE) - VLOOKUP($A8,AVG!$A$1:$F$16,5,TRUE)</f>
        <v>#N/A</v>
      </c>
      <c r="F8" s="1" t="e">
        <f ca="1" xml:space="preserve"> VLOOKUP($A8,'Current Value'!$A$1:$E$3,6,TRUE) - VLOOKUP($A8,AVG!$A$1:$F$16,6,TRUE)</f>
        <v>#N/A</v>
      </c>
    </row>
    <row r="9" spans="1:6" x14ac:dyDescent="0.3">
      <c r="A9" s="3">
        <f t="shared" ca="1" si="0"/>
        <v>44736</v>
      </c>
      <c r="B9" s="1" t="e">
        <f ca="1" xml:space="preserve"> VLOOKUP($A9,'Current Value'!$A$1:$E$3,2,TRUE) - VLOOKUP($A9,AVG!$A$1:$F$16,2,TRUE)</f>
        <v>#N/A</v>
      </c>
      <c r="C9" s="1" t="e">
        <f ca="1" xml:space="preserve"> VLOOKUP($A9,'Current Value'!$A$1:$E$3,3,TRUE) - VLOOKUP($A9,AVG!$A$1:$F$16,3,TRUE)</f>
        <v>#N/A</v>
      </c>
      <c r="D9" s="1" t="e">
        <f ca="1" xml:space="preserve"> VLOOKUP($A9,'Current Value'!$A$1:$E$3,4,TRUE) - VLOOKUP($A9,AVG!$A$1:$F$16,4,TRUE)</f>
        <v>#N/A</v>
      </c>
      <c r="E9" s="1" t="e">
        <f ca="1" xml:space="preserve"> VLOOKUP($A9,'Current Value'!$A$1:$E$3,5,TRUE) - VLOOKUP($A9,AVG!$A$1:$F$16,5,TRUE)</f>
        <v>#N/A</v>
      </c>
      <c r="F9" s="1" t="e">
        <f ca="1" xml:space="preserve"> VLOOKUP($A9,'Current Value'!$A$1:$E$3,6,TRUE) - VLOOKUP($A9,AVG!$A$1:$F$16,6,TRUE)</f>
        <v>#N/A</v>
      </c>
    </row>
    <row r="10" spans="1:6" x14ac:dyDescent="0.3">
      <c r="A10" s="3"/>
      <c r="B10" s="1" t="str">
        <f ca="1">IF(COUNTIF(B2:B8,"&lt;0") = 7,"LWL",IF(COUNTIF(B2:B8,"&gt;0") = 7, "UWL","NORMAL"))</f>
        <v>NORMAL</v>
      </c>
      <c r="C10" s="1" t="str">
        <f ca="1">IF(COUNTIF(C2:C8,"&lt;0") = 7,"LWL",IF(COUNTIF(C2:C8,"&gt;0") = 7, "UWL","NORMAL"))</f>
        <v>NORMAL</v>
      </c>
      <c r="D10" s="1" t="str">
        <f ca="1">IF(COUNTIF(D2:D8,"&lt;0") = 7,"LWL",IF(COUNTIF(D2:D8,"&gt;0") = 7, "UWL","NORMAL"))</f>
        <v>NORMAL</v>
      </c>
      <c r="E10" s="1" t="str">
        <f t="shared" ref="E10:F10" ca="1" si="1">IF(COUNTIF(E2:E8,"&lt;0") = 7,"LWL",IF(COUNTIF(E2:E8,"&gt;0") = 7, "UWL","NORMAL"))</f>
        <v>NORMAL</v>
      </c>
      <c r="F10" s="1" t="str">
        <f t="shared" ca="1" si="1"/>
        <v>NORMAL</v>
      </c>
    </row>
    <row r="11" spans="1:6" x14ac:dyDescent="0.3">
      <c r="A11" s="2"/>
    </row>
    <row r="12" spans="1:6" x14ac:dyDescent="0.3">
      <c r="A12" s="2"/>
    </row>
    <row r="13" spans="1:6" x14ac:dyDescent="0.3">
      <c r="A13" s="2"/>
    </row>
    <row r="14" spans="1:6" x14ac:dyDescent="0.3">
      <c r="A14" s="2"/>
    </row>
    <row r="15" spans="1:6" x14ac:dyDescent="0.3">
      <c r="A15" s="2"/>
    </row>
    <row r="16" spans="1:6" x14ac:dyDescent="0.3">
      <c r="A1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8B8A-F411-425B-8918-253A5A0027BE}">
  <dimension ref="A1:F10"/>
  <sheetViews>
    <sheetView zoomScaleNormal="100" workbookViewId="0">
      <selection activeCell="I7" sqref="I7"/>
    </sheetView>
  </sheetViews>
  <sheetFormatPr defaultRowHeight="14.4" x14ac:dyDescent="0.3"/>
  <cols>
    <col min="1" max="1" width="12.77734375" customWidth="1"/>
    <col min="2" max="6" width="13.21875" customWidth="1"/>
  </cols>
  <sheetData>
    <row r="1" spans="1:6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3" t="str">
        <f ca="1">OFFSET('Current Value'!A1,COUNTA('Current Value'!A:A)-1,0)</f>
        <v>07/01/2022</v>
      </c>
      <c r="B2" s="1" t="e">
        <f ca="1" xml:space="preserve"> VLOOKUP($A2,'Current Value'!$A$1:$E$3,2,TRUE) - VLOOKUP($A3,'Current Value'!$A$1:$E$3,2,TRUE)</f>
        <v>#N/A</v>
      </c>
      <c r="C2" s="1" t="e">
        <f ca="1" xml:space="preserve"> VLOOKUP($A2,'Current Value'!$A$1:$E$3,3,TRUE) - VLOOKUP($A3,'Current Value'!$A$1:$E$3,3,TRUE)</f>
        <v>#N/A</v>
      </c>
      <c r="D2" s="1" t="e">
        <f ca="1" xml:space="preserve"> VLOOKUP($A2,'Current Value'!$A$1:$E$3,4,TRUE) - VLOOKUP($A3,'Current Value'!$A$1:$E$3,4,TRUE)</f>
        <v>#N/A</v>
      </c>
      <c r="E2" s="1" t="e">
        <f ca="1" xml:space="preserve"> VLOOKUP($A2,'Current Value'!$A$1:$E$3,5,TRUE) - VLOOKUP($A3,'Current Value'!$A$1:$E$3,5,TRUE)</f>
        <v>#N/A</v>
      </c>
      <c r="F2" s="1" t="e">
        <f ca="1" xml:space="preserve"> VLOOKUP($A2,'Current Value'!$A$1:$E$3,6,TRUE) - VLOOKUP($A3,'Current Value'!$A$1:$E$3,6,TRUE)</f>
        <v>#N/A</v>
      </c>
    </row>
    <row r="3" spans="1:6" x14ac:dyDescent="0.3">
      <c r="A3" s="3">
        <f ca="1">A2-1</f>
        <v>44742</v>
      </c>
      <c r="B3" s="1" t="e">
        <f ca="1" xml:space="preserve"> VLOOKUP($A3,'Current Value'!$A$1:$E$3,2,TRUE) - VLOOKUP($A4,'Current Value'!$A$1:$E$3,2,TRUE)</f>
        <v>#N/A</v>
      </c>
      <c r="C3" s="1" t="e">
        <f ca="1" xml:space="preserve"> VLOOKUP($A3,'Current Value'!$A$1:$E$3,3,TRUE) - VLOOKUP($A4,'Current Value'!$A$1:$E$3,3,TRUE)</f>
        <v>#N/A</v>
      </c>
      <c r="D3" s="1" t="e">
        <f ca="1" xml:space="preserve"> VLOOKUP($A3,'Current Value'!$A$1:$E$3,4,TRUE) - VLOOKUP($A4,'Current Value'!$A$1:$E$3,4,TRUE)</f>
        <v>#N/A</v>
      </c>
      <c r="E3" s="1" t="e">
        <f ca="1" xml:space="preserve"> VLOOKUP($A3,'Current Value'!$A$1:$E$3,5,TRUE) - VLOOKUP($A4,'Current Value'!$A$1:$E$3,5,TRUE)</f>
        <v>#N/A</v>
      </c>
      <c r="F3" s="1" t="e">
        <f ca="1" xml:space="preserve"> VLOOKUP($A3,'Current Value'!$A$1:$E$3,6,TRUE) - VLOOKUP($A4,'Current Value'!$A$1:$E$3,6,TRUE)</f>
        <v>#N/A</v>
      </c>
    </row>
    <row r="4" spans="1:6" x14ac:dyDescent="0.3">
      <c r="A4" s="3">
        <f t="shared" ref="A4:A9" ca="1" si="0">A3-1</f>
        <v>44741</v>
      </c>
      <c r="B4" s="1" t="e">
        <f ca="1" xml:space="preserve"> VLOOKUP($A4,'Current Value'!$A$1:$E$3,2,TRUE) - VLOOKUP($A5,'Current Value'!$A$1:$E$3,2,TRUE)</f>
        <v>#N/A</v>
      </c>
      <c r="C4" s="1" t="e">
        <f ca="1" xml:space="preserve"> VLOOKUP($A4,'Current Value'!$A$1:$E$3,3,TRUE) - VLOOKUP($A5,'Current Value'!$A$1:$E$3,3,TRUE)</f>
        <v>#N/A</v>
      </c>
      <c r="D4" s="1" t="e">
        <f ca="1" xml:space="preserve"> VLOOKUP($A4,'Current Value'!$A$1:$E$3,4,TRUE) - VLOOKUP($A5,'Current Value'!$A$1:$E$3,4,TRUE)</f>
        <v>#N/A</v>
      </c>
      <c r="E4" s="1" t="e">
        <f ca="1" xml:space="preserve"> VLOOKUP($A4,'Current Value'!$A$1:$E$3,5,TRUE) - VLOOKUP($A5,'Current Value'!$A$1:$E$3,5,TRUE)</f>
        <v>#N/A</v>
      </c>
      <c r="F4" s="1" t="e">
        <f ca="1" xml:space="preserve"> VLOOKUP($A4,'Current Value'!$A$1:$E$3,6,TRUE) - VLOOKUP($A5,'Current Value'!$A$1:$E$3,6,TRUE)</f>
        <v>#N/A</v>
      </c>
    </row>
    <row r="5" spans="1:6" x14ac:dyDescent="0.3">
      <c r="A5" s="3">
        <f t="shared" ca="1" si="0"/>
        <v>44740</v>
      </c>
      <c r="B5" s="1" t="e">
        <f ca="1" xml:space="preserve"> VLOOKUP($A5,'Current Value'!$A$1:$E$3,2,TRUE) - VLOOKUP($A6,'Current Value'!$A$1:$E$3,2,TRUE)</f>
        <v>#N/A</v>
      </c>
      <c r="C5" s="1" t="e">
        <f ca="1" xml:space="preserve"> VLOOKUP($A5,'Current Value'!$A$1:$E$3,3,TRUE) - VLOOKUP($A6,'Current Value'!$A$1:$E$3,3,TRUE)</f>
        <v>#N/A</v>
      </c>
      <c r="D5" s="1" t="e">
        <f ca="1" xml:space="preserve"> VLOOKUP($A5,'Current Value'!$A$1:$E$3,4,TRUE) - VLOOKUP($A6,'Current Value'!$A$1:$E$3,4,TRUE)</f>
        <v>#N/A</v>
      </c>
      <c r="E5" s="1" t="e">
        <f ca="1" xml:space="preserve"> VLOOKUP($A5,'Current Value'!$A$1:$E$3,5,TRUE) - VLOOKUP($A6,'Current Value'!$A$1:$E$3,5,TRUE)</f>
        <v>#N/A</v>
      </c>
      <c r="F5" s="1" t="e">
        <f ca="1" xml:space="preserve"> VLOOKUP($A5,'Current Value'!$A$1:$E$3,6,TRUE) - VLOOKUP($A6,'Current Value'!$A$1:$E$3,6,TRUE)</f>
        <v>#N/A</v>
      </c>
    </row>
    <row r="6" spans="1:6" x14ac:dyDescent="0.3">
      <c r="A6" s="3">
        <f t="shared" ca="1" si="0"/>
        <v>44739</v>
      </c>
      <c r="B6" s="1" t="e">
        <f ca="1" xml:space="preserve"> VLOOKUP($A6,'Current Value'!$A$1:$E$3,2,TRUE) - VLOOKUP($A7,'Current Value'!$A$1:$E$3,2,TRUE)</f>
        <v>#N/A</v>
      </c>
      <c r="C6" s="1" t="e">
        <f ca="1" xml:space="preserve"> VLOOKUP($A6,'Current Value'!$A$1:$E$3,3,TRUE) - VLOOKUP($A7,'Current Value'!$A$1:$E$3,3,TRUE)</f>
        <v>#N/A</v>
      </c>
      <c r="D6" s="1" t="e">
        <f ca="1" xml:space="preserve"> VLOOKUP($A6,'Current Value'!$A$1:$E$3,4,TRUE) - VLOOKUP($A7,'Current Value'!$A$1:$E$3,4,TRUE)</f>
        <v>#N/A</v>
      </c>
      <c r="E6" s="1" t="e">
        <f ca="1" xml:space="preserve"> VLOOKUP($A6,'Current Value'!$A$1:$E$3,5,TRUE) - VLOOKUP($A7,'Current Value'!$A$1:$E$3,5,TRUE)</f>
        <v>#N/A</v>
      </c>
      <c r="F6" s="1" t="e">
        <f ca="1" xml:space="preserve"> VLOOKUP($A6,'Current Value'!$A$1:$E$3,6,TRUE) - VLOOKUP($A7,'Current Value'!$A$1:$E$3,6,TRUE)</f>
        <v>#N/A</v>
      </c>
    </row>
    <row r="7" spans="1:6" x14ac:dyDescent="0.3">
      <c r="A7" s="3">
        <f t="shared" ca="1" si="0"/>
        <v>44738</v>
      </c>
      <c r="B7" s="1" t="e">
        <f ca="1" xml:space="preserve"> VLOOKUP($A7,'Current Value'!$A$1:$E$3,2,TRUE) - VLOOKUP($A8,'Current Value'!$A$1:$E$3,2,TRUE)</f>
        <v>#N/A</v>
      </c>
      <c r="C7" s="1" t="e">
        <f ca="1" xml:space="preserve"> VLOOKUP($A7,'Current Value'!$A$1:$E$3,3,TRUE) - VLOOKUP($A8,'Current Value'!$A$1:$E$3,3,TRUE)</f>
        <v>#N/A</v>
      </c>
      <c r="D7" s="1" t="e">
        <f ca="1" xml:space="preserve"> VLOOKUP($A7,'Current Value'!$A$1:$E$3,4,TRUE) - VLOOKUP($A8,'Current Value'!$A$1:$E$3,4,TRUE)</f>
        <v>#N/A</v>
      </c>
      <c r="E7" s="1" t="e">
        <f ca="1" xml:space="preserve"> VLOOKUP($A7,'Current Value'!$A$1:$E$3,5,TRUE) - VLOOKUP($A8,'Current Value'!$A$1:$E$3,5,TRUE)</f>
        <v>#N/A</v>
      </c>
      <c r="F7" s="1" t="e">
        <f ca="1" xml:space="preserve"> VLOOKUP($A7,'Current Value'!$A$1:$E$3,6,TRUE) - VLOOKUP($A8,'Current Value'!$A$1:$E$3,6,TRUE)</f>
        <v>#N/A</v>
      </c>
    </row>
    <row r="8" spans="1:6" x14ac:dyDescent="0.3">
      <c r="A8" s="3">
        <f t="shared" ca="1" si="0"/>
        <v>44737</v>
      </c>
      <c r="B8" s="1" t="e">
        <f ca="1" xml:space="preserve"> VLOOKUP($A8,'Current Value'!$A$1:$E$3,2,TRUE) - VLOOKUP($A9,'Current Value'!$A$1:$E$3,2,TRUE)</f>
        <v>#N/A</v>
      </c>
      <c r="C8" s="1" t="e">
        <f ca="1" xml:space="preserve"> VLOOKUP($A8,'Current Value'!$A$1:$E$3,3,TRUE) - VLOOKUP($A9,'Current Value'!$A$1:$E$3,3,TRUE)</f>
        <v>#N/A</v>
      </c>
      <c r="D8" s="1" t="e">
        <f ca="1" xml:space="preserve"> VLOOKUP($A8,'Current Value'!$A$1:$E$3,4,TRUE) - VLOOKUP($A9,'Current Value'!$A$1:$E$3,4,TRUE)</f>
        <v>#N/A</v>
      </c>
      <c r="E8" s="1" t="e">
        <f ca="1" xml:space="preserve"> VLOOKUP($A8,'Current Value'!$A$1:$E$3,5,TRUE) - VLOOKUP($A9,'Current Value'!$A$1:$E$3,5,TRUE)</f>
        <v>#N/A</v>
      </c>
      <c r="F8" s="1" t="e">
        <f ca="1" xml:space="preserve"> VLOOKUP($A8,'Current Value'!$A$1:$E$3,6,TRUE) - VLOOKUP($A9,'Current Value'!$A$1:$E$3,6,TRUE)</f>
        <v>#N/A</v>
      </c>
    </row>
    <row r="9" spans="1:6" x14ac:dyDescent="0.3">
      <c r="A9" s="3">
        <f t="shared" ca="1" si="0"/>
        <v>44736</v>
      </c>
      <c r="B9" s="1" t="e">
        <f ca="1" xml:space="preserve"> VLOOKUP($A9,'Current Value'!$A$1:$E$3,2,TRUE)</f>
        <v>#N/A</v>
      </c>
      <c r="C9" s="1" t="e">
        <f ca="1" xml:space="preserve"> VLOOKUP($A9,'Current Value'!$A$4:$E$8,3,TRUE)</f>
        <v>#N/A</v>
      </c>
      <c r="D9" s="1" t="e">
        <f ca="1" xml:space="preserve"> VLOOKUP($A9,'Current Value'!$A$1:$E$3,4,TRUE)</f>
        <v>#N/A</v>
      </c>
      <c r="E9" s="1" t="e">
        <f ca="1" xml:space="preserve"> VLOOKUP($A9,'Current Value'!$A$1:$E$3,5,TRUE)</f>
        <v>#N/A</v>
      </c>
      <c r="F9" s="1" t="e">
        <f ca="1" xml:space="preserve"> VLOOKUP($A9,'Current Value'!$A$1:$E$3,6,TRUE)</f>
        <v>#N/A</v>
      </c>
    </row>
    <row r="10" spans="1:6" x14ac:dyDescent="0.3">
      <c r="A10" s="1"/>
      <c r="B10" s="1" t="str">
        <f ca="1">IF(COUNTIF(B2:B8,"&lt;0") = 7,"DOWN",IF(COUNTIF(B2:B8,"&lt;0") = 7, "UP","NORMAL"))</f>
        <v>NORMAL</v>
      </c>
      <c r="C10" s="1" t="str">
        <f ca="1">IF(COUNTIF(C2:C8,"&lt;0") = 7,"DOWN",IF(COUNTIF(C2:C8,"&gt;0") = 7, "UP","NORMAL"))</f>
        <v>NORMAL</v>
      </c>
      <c r="D10" s="1" t="str">
        <f t="shared" ref="D10:F10" ca="1" si="1">IF(COUNTIF(D2:D8,"&lt;0") = 7,"DOWN",IF(COUNTIF(D2:D8,"&gt;0") = 7, "UP","NORMAL"))</f>
        <v>NORMAL</v>
      </c>
      <c r="E10" s="1" t="str">
        <f t="shared" ca="1" si="1"/>
        <v>NORMAL</v>
      </c>
      <c r="F10" s="1" t="str">
        <f t="shared" ca="1" si="1"/>
        <v>NORMAL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4E4E-C4D4-4E9A-8D0A-DD05CFC70D7B}">
  <dimension ref="A1:F32"/>
  <sheetViews>
    <sheetView workbookViewId="0"/>
  </sheetViews>
  <sheetFormatPr defaultRowHeight="14.4" x14ac:dyDescent="0.3"/>
  <cols>
    <col min="1" max="1" width="15.77734375" style="2" customWidth="1"/>
    <col min="2" max="6" width="13.21875" customWidth="1"/>
  </cols>
  <sheetData>
    <row r="1" spans="1:6" x14ac:dyDescent="0.3">
      <c r="A1" s="3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3" t="str">
        <f ca="1">OFFSET('Current Value'!A1,COUNTA('Current Value'!A:A)-1,0)</f>
        <v>07/01/2022</v>
      </c>
      <c r="B2" s="1" t="e">
        <f ca="1" xml:space="preserve"> VLOOKUP($A2,'Current Value'!$A$1:$E$3,2,TRUE) - VLOOKUP($A3,'Current Value'!$A$1:$E$3,2,TRUE)</f>
        <v>#N/A</v>
      </c>
      <c r="C2" s="1" t="e">
        <f ca="1" xml:space="preserve"> VLOOKUP($A2,'Current Value'!$A$1:$E$3,3,TRUE) - VLOOKUP($A3,'Current Value'!$A$1:$E$3,3,TRUE)</f>
        <v>#N/A</v>
      </c>
      <c r="D2" s="1" t="e">
        <f ca="1" xml:space="preserve"> VLOOKUP($A2,'Current Value'!$A$1:$E$3,4,TRUE) - VLOOKUP($A3,'Current Value'!$A$1:$E$3,4,TRUE)</f>
        <v>#N/A</v>
      </c>
      <c r="E2" s="1" t="e">
        <f ca="1" xml:space="preserve"> VLOOKUP($A2,'Current Value'!$A$1:$E$3,5,TRUE) - VLOOKUP($A3,'Current Value'!$A$1:$E$3,5,TRUE)</f>
        <v>#N/A</v>
      </c>
      <c r="F2" s="1" t="e">
        <f ca="1" xml:space="preserve"> VLOOKUP($A2,'Current Value'!$A$1:$E$3,6,TRUE) - VLOOKUP($A3,'Current Value'!$A$1:$E$3,6,TRUE)</f>
        <v>#N/A</v>
      </c>
    </row>
    <row r="3" spans="1:6" x14ac:dyDescent="0.3">
      <c r="A3" s="3">
        <f ca="1">A2-1</f>
        <v>44742</v>
      </c>
      <c r="B3" s="1" t="e">
        <f ca="1" xml:space="preserve"> VLOOKUP($A3,'Current Value'!$A$1:$E$3,2,TRUE) - VLOOKUP($A4,'Current Value'!$A$1:$E$3,2,TRUE)</f>
        <v>#N/A</v>
      </c>
      <c r="C3" s="1" t="e">
        <f ca="1" xml:space="preserve"> VLOOKUP($A3,'Current Value'!$A$1:$E$3,3,TRUE) - VLOOKUP($A4,'Current Value'!$A$1:$E$3,3,TRUE)</f>
        <v>#N/A</v>
      </c>
      <c r="D3" s="1" t="e">
        <f ca="1" xml:space="preserve"> VLOOKUP($A3,'Current Value'!$A$1:$E$3,4,TRUE) - VLOOKUP($A4,'Current Value'!$A$1:$E$3,4,TRUE)</f>
        <v>#N/A</v>
      </c>
      <c r="E3" s="1" t="e">
        <f ca="1" xml:space="preserve"> VLOOKUP($A3,'Current Value'!$A$1:$E$3,5,TRUE) - VLOOKUP($A4,'Current Value'!$A$1:$E$3,5,TRUE)</f>
        <v>#N/A</v>
      </c>
      <c r="F3" s="1" t="e">
        <f ca="1" xml:space="preserve"> VLOOKUP($A3,'Current Value'!$A$1:$E$3,6,TRUE) - VLOOKUP($A4,'Current Value'!$A$1:$E$3,6,TRUE)</f>
        <v>#N/A</v>
      </c>
    </row>
    <row r="4" spans="1:6" x14ac:dyDescent="0.3">
      <c r="A4" s="3">
        <f t="shared" ref="A4:A17" ca="1" si="0">A3-1</f>
        <v>44741</v>
      </c>
      <c r="B4" s="1" t="e">
        <f ca="1" xml:space="preserve"> VLOOKUP($A4,'Current Value'!$A$1:$E$3,2,TRUE) - VLOOKUP($A5,'Current Value'!$A$1:$E$3,2,TRUE)</f>
        <v>#N/A</v>
      </c>
      <c r="C4" s="1" t="e">
        <f ca="1" xml:space="preserve"> VLOOKUP($A4,'Current Value'!$A$1:$E$3,3,TRUE) - VLOOKUP($A5,'Current Value'!$A$1:$E$3,3,TRUE)</f>
        <v>#N/A</v>
      </c>
      <c r="D4" s="1" t="e">
        <f ca="1" xml:space="preserve"> VLOOKUP($A4,'Current Value'!$A$1:$E$3,4,TRUE) - VLOOKUP($A5,'Current Value'!$A$1:$E$3,4,TRUE)</f>
        <v>#N/A</v>
      </c>
      <c r="E4" s="1" t="e">
        <f ca="1" xml:space="preserve"> VLOOKUP($A4,'Current Value'!$A$1:$E$3,5,TRUE) - VLOOKUP($A5,'Current Value'!$A$1:$E$3,5,TRUE)</f>
        <v>#N/A</v>
      </c>
      <c r="F4" s="1" t="e">
        <f ca="1" xml:space="preserve"> VLOOKUP($A4,'Current Value'!$A$1:$E$3,6,TRUE) - VLOOKUP($A5,'Current Value'!$A$1:$E$3,6,TRUE)</f>
        <v>#N/A</v>
      </c>
    </row>
    <row r="5" spans="1:6" x14ac:dyDescent="0.3">
      <c r="A5" s="3">
        <f t="shared" ca="1" si="0"/>
        <v>44740</v>
      </c>
      <c r="B5" s="1" t="e">
        <f ca="1" xml:space="preserve"> VLOOKUP($A5,'Current Value'!$A$1:$E$3,2,TRUE) - VLOOKUP($A6,'Current Value'!$A$1:$E$3,2,TRUE)</f>
        <v>#N/A</v>
      </c>
      <c r="C5" s="1" t="e">
        <f ca="1" xml:space="preserve"> VLOOKUP($A5,'Current Value'!$A$1:$E$3,3,TRUE) - VLOOKUP($A6,'Current Value'!$A$1:$E$3,3,TRUE)</f>
        <v>#N/A</v>
      </c>
      <c r="D5" s="1" t="e">
        <f ca="1" xml:space="preserve"> VLOOKUP($A5,'Current Value'!$A$1:$E$3,4,TRUE) - VLOOKUP($A6,'Current Value'!$A$1:$E$3,4,TRUE)</f>
        <v>#N/A</v>
      </c>
      <c r="E5" s="1" t="e">
        <f ca="1" xml:space="preserve"> VLOOKUP($A5,'Current Value'!$A$1:$E$3,5,TRUE) - VLOOKUP($A6,'Current Value'!$A$1:$E$3,5,TRUE)</f>
        <v>#N/A</v>
      </c>
      <c r="F5" s="1" t="e">
        <f ca="1" xml:space="preserve"> VLOOKUP($A5,'Current Value'!$A$1:$E$3,6,TRUE) - VLOOKUP($A6,'Current Value'!$A$1:$E$3,6,TRUE)</f>
        <v>#N/A</v>
      </c>
    </row>
    <row r="6" spans="1:6" x14ac:dyDescent="0.3">
      <c r="A6" s="3">
        <f t="shared" ca="1" si="0"/>
        <v>44739</v>
      </c>
      <c r="B6" s="1" t="e">
        <f ca="1" xml:space="preserve"> VLOOKUP($A6,'Current Value'!$A$1:$E$3,2,TRUE) - VLOOKUP($A7,'Current Value'!$A$1:$E$3,2,TRUE)</f>
        <v>#N/A</v>
      </c>
      <c r="C6" s="1" t="e">
        <f ca="1" xml:space="preserve"> VLOOKUP($A6,'Current Value'!$A$1:$E$3,3,TRUE) - VLOOKUP($A7,'Current Value'!$A$1:$E$3,3,TRUE)</f>
        <v>#N/A</v>
      </c>
      <c r="D6" s="1" t="e">
        <f ca="1" xml:space="preserve"> VLOOKUP($A6,'Current Value'!$A$1:$E$3,4,TRUE) - VLOOKUP($A7,'Current Value'!$A$1:$E$3,4,TRUE)</f>
        <v>#N/A</v>
      </c>
      <c r="E6" s="1" t="e">
        <f ca="1" xml:space="preserve"> VLOOKUP($A6,'Current Value'!$A$1:$E$3,5,TRUE) - VLOOKUP($A7,'Current Value'!$A$1:$E$3,5,TRUE)</f>
        <v>#N/A</v>
      </c>
      <c r="F6" s="1" t="e">
        <f ca="1" xml:space="preserve"> VLOOKUP($A6,'Current Value'!$A$1:$E$3,6,TRUE) - VLOOKUP($A7,'Current Value'!$A$1:$E$3,6,TRUE)</f>
        <v>#N/A</v>
      </c>
    </row>
    <row r="7" spans="1:6" x14ac:dyDescent="0.3">
      <c r="A7" s="3">
        <f t="shared" ca="1" si="0"/>
        <v>44738</v>
      </c>
      <c r="B7" s="1" t="e">
        <f ca="1" xml:space="preserve"> VLOOKUP($A7,'Current Value'!$A$1:$E$3,2,TRUE) - VLOOKUP($A8,'Current Value'!$A$1:$E$3,2,TRUE)</f>
        <v>#N/A</v>
      </c>
      <c r="C7" s="1" t="e">
        <f ca="1" xml:space="preserve"> VLOOKUP($A7,'Current Value'!$A$1:$E$3,3,TRUE) - VLOOKUP($A8,'Current Value'!$A$1:$E$3,3,TRUE)</f>
        <v>#N/A</v>
      </c>
      <c r="D7" s="1" t="e">
        <f ca="1" xml:space="preserve"> VLOOKUP($A7,'Current Value'!$A$1:$E$3,4,TRUE) - VLOOKUP($A8,'Current Value'!$A$1:$E$3,4,TRUE)</f>
        <v>#N/A</v>
      </c>
      <c r="E7" s="1" t="e">
        <f ca="1" xml:space="preserve"> VLOOKUP($A7,'Current Value'!$A$1:$E$3,5,TRUE) - VLOOKUP($A8,'Current Value'!$A$1:$E$3,5,TRUE)</f>
        <v>#N/A</v>
      </c>
      <c r="F7" s="1" t="e">
        <f ca="1" xml:space="preserve"> VLOOKUP($A7,'Current Value'!$A$1:$E$3,6,TRUE) - VLOOKUP($A8,'Current Value'!$A$1:$E$3,6,TRUE)</f>
        <v>#N/A</v>
      </c>
    </row>
    <row r="8" spans="1:6" x14ac:dyDescent="0.3">
      <c r="A8" s="3">
        <f t="shared" ca="1" si="0"/>
        <v>44737</v>
      </c>
      <c r="B8" s="1" t="e">
        <f ca="1" xml:space="preserve"> VLOOKUP($A8,'Current Value'!$A$1:$E$3,2,TRUE) - VLOOKUP($A9,'Current Value'!$A$1:$E$3,2,TRUE)</f>
        <v>#N/A</v>
      </c>
      <c r="C8" s="1" t="e">
        <f ca="1" xml:space="preserve"> VLOOKUP($A8,'Current Value'!$A$1:$E$3,3,TRUE) - VLOOKUP($A9,'Current Value'!$A$1:$E$3,3,TRUE)</f>
        <v>#N/A</v>
      </c>
      <c r="D8" s="1" t="e">
        <f ca="1" xml:space="preserve"> VLOOKUP($A8,'Current Value'!$A$1:$E$3,4,TRUE) - VLOOKUP($A9,'Current Value'!$A$1:$E$3,4,TRUE)</f>
        <v>#N/A</v>
      </c>
      <c r="E8" s="1" t="e">
        <f ca="1" xml:space="preserve"> VLOOKUP($A8,'Current Value'!$A$1:$E$3,5,TRUE) - VLOOKUP($A9,'Current Value'!$A$1:$E$3,5,TRUE)</f>
        <v>#N/A</v>
      </c>
      <c r="F8" s="1" t="e">
        <f ca="1" xml:space="preserve"> VLOOKUP($A8,'Current Value'!$A$1:$E$3,6,TRUE) - VLOOKUP($A9,'Current Value'!$A$1:$E$3,6,TRUE)</f>
        <v>#N/A</v>
      </c>
    </row>
    <row r="9" spans="1:6" x14ac:dyDescent="0.3">
      <c r="A9" s="3">
        <f t="shared" ca="1" si="0"/>
        <v>44736</v>
      </c>
      <c r="B9" s="1" t="e">
        <f ca="1" xml:space="preserve"> VLOOKUP($A9,'Current Value'!$A$1:$E$3,2,TRUE) - VLOOKUP($A10,'Current Value'!$A$1:$E$3,2,TRUE)</f>
        <v>#N/A</v>
      </c>
      <c r="C9" s="1" t="e">
        <f ca="1" xml:space="preserve"> VLOOKUP($A9,'Current Value'!$A$1:$E$3,3,TRUE) - VLOOKUP($A10,'Current Value'!$A$1:$E$3,3,TRUE)</f>
        <v>#N/A</v>
      </c>
      <c r="D9" s="1" t="e">
        <f ca="1" xml:space="preserve"> VLOOKUP($A9,'Current Value'!$A$1:$E$3,4,TRUE) - VLOOKUP($A10,'Current Value'!$A$1:$E$3,4,TRUE)</f>
        <v>#N/A</v>
      </c>
      <c r="E9" s="1" t="e">
        <f ca="1" xml:space="preserve"> VLOOKUP($A9,'Current Value'!$A$1:$E$3,5,TRUE) - VLOOKUP($A10,'Current Value'!$A$1:$E$3,5,TRUE)</f>
        <v>#N/A</v>
      </c>
      <c r="F9" s="1" t="e">
        <f ca="1" xml:space="preserve"> VLOOKUP($A9,'Current Value'!$A$1:$E$3,6,TRUE) - VLOOKUP($A10,'Current Value'!$A$1:$E$3,6,TRUE)</f>
        <v>#N/A</v>
      </c>
    </row>
    <row r="10" spans="1:6" x14ac:dyDescent="0.3">
      <c r="A10" s="3">
        <f t="shared" ca="1" si="0"/>
        <v>44735</v>
      </c>
      <c r="B10" s="1" t="e">
        <f ca="1" xml:space="preserve"> VLOOKUP($A10,'Current Value'!$A$1:$E$3,2,TRUE) - VLOOKUP($A11,'Current Value'!$A$1:$E$3,2,TRUE)</f>
        <v>#N/A</v>
      </c>
      <c r="C10" s="1" t="e">
        <f ca="1" xml:space="preserve"> VLOOKUP($A10,'Current Value'!$A$1:$E$3,3,TRUE) - VLOOKUP($A11,'Current Value'!$A$1:$E$3,3,TRUE)</f>
        <v>#N/A</v>
      </c>
      <c r="D10" s="1" t="e">
        <f ca="1" xml:space="preserve"> VLOOKUP($A10,'Current Value'!$A$1:$E$3,4,TRUE) - VLOOKUP($A11,'Current Value'!$A$1:$E$3,4,TRUE)</f>
        <v>#N/A</v>
      </c>
      <c r="E10" s="1" t="e">
        <f ca="1" xml:space="preserve"> VLOOKUP($A10,'Current Value'!$A$1:$E$3,5,TRUE) - VLOOKUP($A11,'Current Value'!$A$1:$E$3,5,TRUE)</f>
        <v>#N/A</v>
      </c>
      <c r="F10" s="1" t="e">
        <f ca="1" xml:space="preserve"> VLOOKUP($A10,'Current Value'!$A$1:$E$3,6,TRUE) - VLOOKUP($A11,'Current Value'!$A$1:$E$3,6,TRUE)</f>
        <v>#N/A</v>
      </c>
    </row>
    <row r="11" spans="1:6" x14ac:dyDescent="0.3">
      <c r="A11" s="3">
        <f t="shared" ca="1" si="0"/>
        <v>44734</v>
      </c>
      <c r="B11" s="1" t="e">
        <f ca="1" xml:space="preserve"> VLOOKUP($A11,'Current Value'!$A$1:$E$3,2,TRUE) - VLOOKUP($A12,'Current Value'!$A$1:$E$3,2,TRUE)</f>
        <v>#N/A</v>
      </c>
      <c r="C11" s="1" t="e">
        <f ca="1" xml:space="preserve"> VLOOKUP($A11,'Current Value'!$A$1:$E$3,3,TRUE) - VLOOKUP($A12,'Current Value'!$A$1:$E$3,3,TRUE)</f>
        <v>#N/A</v>
      </c>
      <c r="D11" s="1" t="e">
        <f ca="1" xml:space="preserve"> VLOOKUP($A11,'Current Value'!$A$1:$E$3,4,TRUE) - VLOOKUP($A12,'Current Value'!$A$1:$E$3,4,TRUE)</f>
        <v>#N/A</v>
      </c>
      <c r="E11" s="1" t="e">
        <f ca="1" xml:space="preserve"> VLOOKUP($A11,'Current Value'!$A$1:$E$3,5,TRUE) - VLOOKUP($A12,'Current Value'!$A$1:$E$3,5,TRUE)</f>
        <v>#N/A</v>
      </c>
      <c r="F11" s="1" t="e">
        <f ca="1" xml:space="preserve"> VLOOKUP($A11,'Current Value'!$A$1:$E$3,6,TRUE) - VLOOKUP($A12,'Current Value'!$A$1:$E$3,6,TRUE)</f>
        <v>#N/A</v>
      </c>
    </row>
    <row r="12" spans="1:6" x14ac:dyDescent="0.3">
      <c r="A12" s="3">
        <f t="shared" ca="1" si="0"/>
        <v>44733</v>
      </c>
      <c r="B12" s="1" t="e">
        <f ca="1" xml:space="preserve"> VLOOKUP($A12,'Current Value'!$A$1:$E$3,2,TRUE) - VLOOKUP($A13,'Current Value'!$A$1:$E$3,2,TRUE)</f>
        <v>#N/A</v>
      </c>
      <c r="C12" s="1" t="e">
        <f ca="1" xml:space="preserve"> VLOOKUP($A12,'Current Value'!$A$1:$E$3,3,TRUE) - VLOOKUP($A13,'Current Value'!$A$1:$E$3,3,TRUE)</f>
        <v>#N/A</v>
      </c>
      <c r="D12" s="1" t="e">
        <f ca="1" xml:space="preserve"> VLOOKUP($A12,'Current Value'!$A$1:$E$3,4,TRUE) - VLOOKUP($A13,'Current Value'!$A$1:$E$3,4,TRUE)</f>
        <v>#N/A</v>
      </c>
      <c r="E12" s="1" t="e">
        <f ca="1" xml:space="preserve"> VLOOKUP($A12,'Current Value'!$A$1:$E$3,5,TRUE) - VLOOKUP($A13,'Current Value'!$A$1:$E$3,5,TRUE)</f>
        <v>#N/A</v>
      </c>
      <c r="F12" s="1" t="e">
        <f ca="1" xml:space="preserve"> VLOOKUP($A12,'Current Value'!$A$1:$E$3,6,TRUE) - VLOOKUP($A13,'Current Value'!$A$1:$E$3,6,TRUE)</f>
        <v>#N/A</v>
      </c>
    </row>
    <row r="13" spans="1:6" x14ac:dyDescent="0.3">
      <c r="A13" s="3">
        <f t="shared" ca="1" si="0"/>
        <v>44732</v>
      </c>
      <c r="B13" s="1" t="e">
        <f ca="1" xml:space="preserve"> VLOOKUP($A13,'Current Value'!$A$1:$E$3,2,TRUE) - VLOOKUP($A14,'Current Value'!$A$1:$E$3,2,TRUE)</f>
        <v>#N/A</v>
      </c>
      <c r="C13" s="1" t="e">
        <f ca="1" xml:space="preserve"> VLOOKUP($A13,'Current Value'!$A$1:$E$3,3,TRUE) - VLOOKUP($A14,'Current Value'!$A$1:$E$3,3,TRUE)</f>
        <v>#N/A</v>
      </c>
      <c r="D13" s="1" t="e">
        <f ca="1" xml:space="preserve"> VLOOKUP($A13,'Current Value'!$A$1:$E$3,4,TRUE) - VLOOKUP($A14,'Current Value'!$A$1:$E$3,4,TRUE)</f>
        <v>#N/A</v>
      </c>
      <c r="E13" s="1" t="e">
        <f ca="1" xml:space="preserve"> VLOOKUP($A13,'Current Value'!$A$1:$E$3,5,TRUE) - VLOOKUP($A14,'Current Value'!$A$1:$E$3,5,TRUE)</f>
        <v>#N/A</v>
      </c>
      <c r="F13" s="1" t="e">
        <f ca="1" xml:space="preserve"> VLOOKUP($A13,'Current Value'!$A$1:$E$3,6,TRUE) - VLOOKUP($A14,'Current Value'!$A$1:$E$3,6,TRUE)</f>
        <v>#N/A</v>
      </c>
    </row>
    <row r="14" spans="1:6" x14ac:dyDescent="0.3">
      <c r="A14" s="3">
        <f t="shared" ca="1" si="0"/>
        <v>44731</v>
      </c>
      <c r="B14" s="1" t="e">
        <f ca="1" xml:space="preserve"> VLOOKUP($A14,'Current Value'!$A$1:$E$3,2,TRUE) - VLOOKUP($A15,'Current Value'!$A$1:$E$3,2,TRUE)</f>
        <v>#N/A</v>
      </c>
      <c r="C14" s="1" t="e">
        <f ca="1" xml:space="preserve"> VLOOKUP($A14,'Current Value'!$A$1:$E$3,3,TRUE) - VLOOKUP($A15,'Current Value'!$A$1:$E$3,3,TRUE)</f>
        <v>#N/A</v>
      </c>
      <c r="D14" s="1" t="e">
        <f ca="1" xml:space="preserve"> VLOOKUP($A14,'Current Value'!$A$1:$E$3,4,TRUE) - VLOOKUP($A15,'Current Value'!$A$1:$E$3,4,TRUE)</f>
        <v>#N/A</v>
      </c>
      <c r="E14" s="1" t="e">
        <f ca="1" xml:space="preserve"> VLOOKUP($A14,'Current Value'!$A$1:$E$3,5,TRUE) - VLOOKUP($A15,'Current Value'!$A$1:$E$3,5,TRUE)</f>
        <v>#N/A</v>
      </c>
      <c r="F14" s="1" t="e">
        <f ca="1" xml:space="preserve"> VLOOKUP($A14,'Current Value'!$A$1:$E$3,6,TRUE) - VLOOKUP($A15,'Current Value'!$A$1:$E$3,6,TRUE)</f>
        <v>#N/A</v>
      </c>
    </row>
    <row r="15" spans="1:6" x14ac:dyDescent="0.3">
      <c r="A15" s="3">
        <f t="shared" ca="1" si="0"/>
        <v>44730</v>
      </c>
      <c r="B15" s="1" t="e">
        <f ca="1" xml:space="preserve"> VLOOKUP($A15,'Current Value'!$A$1:$E$3,2,TRUE) - VLOOKUP($A16,'Current Value'!$A$1:$E$3,2,TRUE)</f>
        <v>#N/A</v>
      </c>
      <c r="C15" s="1" t="e">
        <f ca="1" xml:space="preserve"> VLOOKUP($A15,'Current Value'!$A$1:$E$3,3,TRUE) - VLOOKUP($A16,'Current Value'!$A$1:$E$3,3,TRUE)</f>
        <v>#N/A</v>
      </c>
      <c r="D15" s="1" t="e">
        <f ca="1" xml:space="preserve"> VLOOKUP($A15,'Current Value'!$A$1:$E$3,4,TRUE) - VLOOKUP($A16,'Current Value'!$A$1:$E$3,4,TRUE)</f>
        <v>#N/A</v>
      </c>
      <c r="E15" s="1" t="e">
        <f ca="1" xml:space="preserve"> VLOOKUP($A15,'Current Value'!$A$1:$E$3,5,TRUE) - VLOOKUP($A16,'Current Value'!$A$1:$E$3,5,TRUE)</f>
        <v>#N/A</v>
      </c>
      <c r="F15" s="1" t="e">
        <f ca="1" xml:space="preserve"> VLOOKUP($A15,'Current Value'!$A$1:$E$3,6,TRUE) - VLOOKUP($A16,'Current Value'!$A$1:$E$3,6,TRUE)</f>
        <v>#N/A</v>
      </c>
    </row>
    <row r="16" spans="1:6" x14ac:dyDescent="0.3">
      <c r="A16" s="3">
        <f t="shared" ca="1" si="0"/>
        <v>44729</v>
      </c>
      <c r="B16" s="1" t="e">
        <f ca="1" xml:space="preserve"> VLOOKUP($A16,'Current Value'!$A$1:$E$3,2,TRUE)</f>
        <v>#N/A</v>
      </c>
      <c r="C16" s="1" t="e">
        <f ca="1" xml:space="preserve"> VLOOKUP($A16,'Current Value'!$A$1:$E$3,3,TRUE)</f>
        <v>#N/A</v>
      </c>
      <c r="D16" s="1" t="e">
        <f ca="1" xml:space="preserve"> VLOOKUP($A16,'Current Value'!$A$1:$E$3,4,TRUE)</f>
        <v>#N/A</v>
      </c>
      <c r="E16" s="1" t="e">
        <f ca="1" xml:space="preserve"> VLOOKUP($A16,'Current Value'!$A$1:$E$3,5,TRUE) - VLOOKUP($A17,'Current Value'!$A$1:$E$3,5,TRUE)</f>
        <v>#N/A</v>
      </c>
      <c r="F16" s="1" t="e">
        <f ca="1" xml:space="preserve"> VLOOKUP($A16,'Current Value'!$A$1:$E$3,6,TRUE)</f>
        <v>#N/A</v>
      </c>
    </row>
    <row r="17" spans="1:6" x14ac:dyDescent="0.3">
      <c r="A17" s="3">
        <f t="shared" ca="1" si="0"/>
        <v>44728</v>
      </c>
      <c r="B17" s="1" t="e">
        <f ca="1" xml:space="preserve"> VLOOKUP($A17,'Current Value'!$A$1:$E$3,2,TRUE)</f>
        <v>#N/A</v>
      </c>
      <c r="C17" s="1" t="e">
        <f ca="1" xml:space="preserve"> VLOOKUP($A17,'Current Value'!$A$1:$E$3,3,TRUE)</f>
        <v>#N/A</v>
      </c>
      <c r="D17" s="1" t="e">
        <f ca="1" xml:space="preserve"> VLOOKUP($A17,'Current Value'!$A$1:$E$3,4,TRUE)</f>
        <v>#N/A</v>
      </c>
      <c r="E17" s="1" t="e">
        <f ca="1" xml:space="preserve"> VLOOKUP($A17,'Current Value'!$A$1:$E$3,5,TRUE)</f>
        <v>#N/A</v>
      </c>
      <c r="F17" s="1" t="e">
        <f ca="1" xml:space="preserve"> VLOOKUP($A17,'Current Value'!$A$1:$E$3,6,TRUE)</f>
        <v>#N/A</v>
      </c>
    </row>
    <row r="18" spans="1:6" x14ac:dyDescent="0.3">
      <c r="A18" s="3"/>
      <c r="B18" s="1" t="e">
        <f ca="1">IF(SUM(B19:B32) = 14,"TRUE","FALSE")</f>
        <v>#N/A</v>
      </c>
      <c r="C18" s="1" t="e">
        <f t="shared" ref="C18:F18" ca="1" si="1">IF(SUM(C19:C32) = 14,"TRUE","FALSE")</f>
        <v>#N/A</v>
      </c>
      <c r="D18" s="1" t="e">
        <f t="shared" ca="1" si="1"/>
        <v>#N/A</v>
      </c>
      <c r="E18" s="1" t="e">
        <f t="shared" ca="1" si="1"/>
        <v>#N/A</v>
      </c>
      <c r="F18" s="1" t="e">
        <f t="shared" ca="1" si="1"/>
        <v>#N/A</v>
      </c>
    </row>
    <row r="19" spans="1:6" x14ac:dyDescent="0.3">
      <c r="A19" s="3" t="str">
        <f ca="1">A2</f>
        <v>07/01/2022</v>
      </c>
      <c r="B19" s="1" t="e">
        <f t="shared" ref="B19:D19" ca="1" si="2">IF(B2&lt;0,IF(B3&gt;0,1,0),IF(B3&lt;0,1,0))</f>
        <v>#N/A</v>
      </c>
      <c r="C19" s="1" t="e">
        <f t="shared" ca="1" si="2"/>
        <v>#N/A</v>
      </c>
      <c r="D19" s="1" t="e">
        <f t="shared" ca="1" si="2"/>
        <v>#N/A</v>
      </c>
      <c r="E19" s="1" t="e">
        <f ca="1">IF(E2&lt;0,IF(E3&gt;0,1,0),IF(E3&lt;0,1,0))</f>
        <v>#N/A</v>
      </c>
      <c r="F19" s="1" t="e">
        <f ca="1">IF(F2&lt;0,IF(F3&gt;0,1,0),IF(F3&lt;0,1,0))</f>
        <v>#N/A</v>
      </c>
    </row>
    <row r="20" spans="1:6" x14ac:dyDescent="0.3">
      <c r="A20" s="3">
        <f t="shared" ref="A20:A32" ca="1" si="3">A3</f>
        <v>44742</v>
      </c>
      <c r="B20" s="1" t="e">
        <f t="shared" ref="B20" ca="1" si="4">IF(B3&lt;0,IF(B4&gt;0,1,0),IF(B4&lt;0,1,0))</f>
        <v>#N/A</v>
      </c>
      <c r="C20" s="1" t="e">
        <f t="shared" ref="C20" ca="1" si="5">IF(C3&lt;0,IF(C4&gt;0,1,0),IF(C4&lt;0,1,0))</f>
        <v>#N/A</v>
      </c>
      <c r="D20" s="1" t="e">
        <f t="shared" ref="D20" ca="1" si="6">IF(D3&lt;0,IF(D4&gt;0,1,0),IF(D4&lt;0,1,0))</f>
        <v>#N/A</v>
      </c>
      <c r="E20" s="1" t="e">
        <f t="shared" ref="E20:F32" ca="1" si="7">IF(E3&lt;0,IF(E4&gt;0,1,0),IF(E4&lt;0,1,0))</f>
        <v>#N/A</v>
      </c>
      <c r="F20" s="1" t="e">
        <f t="shared" ca="1" si="7"/>
        <v>#N/A</v>
      </c>
    </row>
    <row r="21" spans="1:6" x14ac:dyDescent="0.3">
      <c r="A21" s="3">
        <f t="shared" ca="1" si="3"/>
        <v>44741</v>
      </c>
      <c r="B21" s="1" t="e">
        <f t="shared" ref="B21" ca="1" si="8">IF(B4&lt;0,IF(B5&gt;0,1,0),IF(B5&lt;0,1,0))</f>
        <v>#N/A</v>
      </c>
      <c r="C21" s="1" t="e">
        <f t="shared" ref="C21" ca="1" si="9">IF(C4&lt;0,IF(C5&gt;0,1,0),IF(C5&lt;0,1,0))</f>
        <v>#N/A</v>
      </c>
      <c r="D21" s="1" t="e">
        <f t="shared" ref="D21" ca="1" si="10">IF(D4&lt;0,IF(D5&gt;0,1,0),IF(D5&lt;0,1,0))</f>
        <v>#N/A</v>
      </c>
      <c r="E21" s="1" t="e">
        <f t="shared" ca="1" si="7"/>
        <v>#N/A</v>
      </c>
      <c r="F21" s="1" t="e">
        <f t="shared" ca="1" si="7"/>
        <v>#N/A</v>
      </c>
    </row>
    <row r="22" spans="1:6" x14ac:dyDescent="0.3">
      <c r="A22" s="3">
        <f t="shared" ca="1" si="3"/>
        <v>44740</v>
      </c>
      <c r="B22" s="1" t="e">
        <f t="shared" ref="B22" ca="1" si="11">IF(B5&lt;0,IF(B6&gt;0,1,0),IF(B6&lt;0,1,0))</f>
        <v>#N/A</v>
      </c>
      <c r="C22" s="1" t="e">
        <f t="shared" ref="C22" ca="1" si="12">IF(C5&lt;0,IF(C6&gt;0,1,0),IF(C6&lt;0,1,0))</f>
        <v>#N/A</v>
      </c>
      <c r="D22" s="1" t="e">
        <f t="shared" ref="D22" ca="1" si="13">IF(D5&lt;0,IF(D6&gt;0,1,0),IF(D6&lt;0,1,0))</f>
        <v>#N/A</v>
      </c>
      <c r="E22" s="1" t="e">
        <f t="shared" ca="1" si="7"/>
        <v>#N/A</v>
      </c>
      <c r="F22" s="1" t="e">
        <f t="shared" ca="1" si="7"/>
        <v>#N/A</v>
      </c>
    </row>
    <row r="23" spans="1:6" x14ac:dyDescent="0.3">
      <c r="A23" s="3">
        <f t="shared" ca="1" si="3"/>
        <v>44739</v>
      </c>
      <c r="B23" s="1" t="e">
        <f t="shared" ref="B23" ca="1" si="14">IF(B6&lt;0,IF(B7&gt;0,1,0),IF(B7&lt;0,1,0))</f>
        <v>#N/A</v>
      </c>
      <c r="C23" s="1" t="e">
        <f t="shared" ref="C23" ca="1" si="15">IF(C6&lt;0,IF(C7&gt;0,1,0),IF(C7&lt;0,1,0))</f>
        <v>#N/A</v>
      </c>
      <c r="D23" s="1" t="e">
        <f t="shared" ref="D23" ca="1" si="16">IF(D6&lt;0,IF(D7&gt;0,1,0),IF(D7&lt;0,1,0))</f>
        <v>#N/A</v>
      </c>
      <c r="E23" s="1" t="e">
        <f t="shared" ca="1" si="7"/>
        <v>#N/A</v>
      </c>
      <c r="F23" s="1" t="e">
        <f t="shared" ca="1" si="7"/>
        <v>#N/A</v>
      </c>
    </row>
    <row r="24" spans="1:6" x14ac:dyDescent="0.3">
      <c r="A24" s="3">
        <f t="shared" ca="1" si="3"/>
        <v>44738</v>
      </c>
      <c r="B24" s="1" t="e">
        <f t="shared" ref="B24" ca="1" si="17">IF(B7&lt;0,IF(B8&gt;0,1,0),IF(B8&lt;0,1,0))</f>
        <v>#N/A</v>
      </c>
      <c r="C24" s="1" t="e">
        <f t="shared" ref="C24" ca="1" si="18">IF(C7&lt;0,IF(C8&gt;0,1,0),IF(C8&lt;0,1,0))</f>
        <v>#N/A</v>
      </c>
      <c r="D24" s="1" t="e">
        <f t="shared" ref="D24" ca="1" si="19">IF(D7&lt;0,IF(D8&gt;0,1,0),IF(D8&lt;0,1,0))</f>
        <v>#N/A</v>
      </c>
      <c r="E24" s="1" t="e">
        <f t="shared" ca="1" si="7"/>
        <v>#N/A</v>
      </c>
      <c r="F24" s="1" t="e">
        <f t="shared" ca="1" si="7"/>
        <v>#N/A</v>
      </c>
    </row>
    <row r="25" spans="1:6" x14ac:dyDescent="0.3">
      <c r="A25" s="3">
        <f t="shared" ca="1" si="3"/>
        <v>44737</v>
      </c>
      <c r="B25" s="1" t="e">
        <f t="shared" ref="B25" ca="1" si="20">IF(B8&lt;0,IF(B9&gt;0,1,0),IF(B9&lt;0,1,0))</f>
        <v>#N/A</v>
      </c>
      <c r="C25" s="1" t="e">
        <f t="shared" ref="C25" ca="1" si="21">IF(C8&lt;0,IF(C9&gt;0,1,0),IF(C9&lt;0,1,0))</f>
        <v>#N/A</v>
      </c>
      <c r="D25" s="1" t="e">
        <f t="shared" ref="D25" ca="1" si="22">IF(D8&lt;0,IF(D9&gt;0,1,0),IF(D9&lt;0,1,0))</f>
        <v>#N/A</v>
      </c>
      <c r="E25" s="1" t="e">
        <f t="shared" ca="1" si="7"/>
        <v>#N/A</v>
      </c>
      <c r="F25" s="1" t="e">
        <f t="shared" ca="1" si="7"/>
        <v>#N/A</v>
      </c>
    </row>
    <row r="26" spans="1:6" x14ac:dyDescent="0.3">
      <c r="A26" s="3">
        <f t="shared" ca="1" si="3"/>
        <v>44736</v>
      </c>
      <c r="B26" s="1" t="e">
        <f t="shared" ref="B26" ca="1" si="23">IF(B9&lt;0,IF(B10&gt;0,1,0),IF(B10&lt;0,1,0))</f>
        <v>#N/A</v>
      </c>
      <c r="C26" s="1" t="e">
        <f t="shared" ref="C26" ca="1" si="24">IF(C9&lt;0,IF(C10&gt;0,1,0),IF(C10&lt;0,1,0))</f>
        <v>#N/A</v>
      </c>
      <c r="D26" s="1" t="e">
        <f t="shared" ref="D26" ca="1" si="25">IF(D9&lt;0,IF(D10&gt;0,1,0),IF(D10&lt;0,1,0))</f>
        <v>#N/A</v>
      </c>
      <c r="E26" s="1" t="e">
        <f t="shared" ca="1" si="7"/>
        <v>#N/A</v>
      </c>
      <c r="F26" s="1" t="e">
        <f t="shared" ca="1" si="7"/>
        <v>#N/A</v>
      </c>
    </row>
    <row r="27" spans="1:6" x14ac:dyDescent="0.3">
      <c r="A27" s="3">
        <f t="shared" ca="1" si="3"/>
        <v>44735</v>
      </c>
      <c r="B27" s="1" t="e">
        <f t="shared" ref="B27" ca="1" si="26">IF(B10&lt;0,IF(B11&gt;0,1,0),IF(B11&lt;0,1,0))</f>
        <v>#N/A</v>
      </c>
      <c r="C27" s="1" t="e">
        <f t="shared" ref="C27" ca="1" si="27">IF(C10&lt;0,IF(C11&gt;0,1,0),IF(C11&lt;0,1,0))</f>
        <v>#N/A</v>
      </c>
      <c r="D27" s="1" t="e">
        <f t="shared" ref="D27" ca="1" si="28">IF(D10&lt;0,IF(D11&gt;0,1,0),IF(D11&lt;0,1,0))</f>
        <v>#N/A</v>
      </c>
      <c r="E27" s="1" t="e">
        <f t="shared" ca="1" si="7"/>
        <v>#N/A</v>
      </c>
      <c r="F27" s="1" t="e">
        <f t="shared" ca="1" si="7"/>
        <v>#N/A</v>
      </c>
    </row>
    <row r="28" spans="1:6" x14ac:dyDescent="0.3">
      <c r="A28" s="3">
        <f t="shared" ca="1" si="3"/>
        <v>44734</v>
      </c>
      <c r="B28" s="1" t="e">
        <f t="shared" ref="B28" ca="1" si="29">IF(B11&lt;0,IF(B12&gt;0,1,0),IF(B12&lt;0,1,0))</f>
        <v>#N/A</v>
      </c>
      <c r="C28" s="1" t="e">
        <f t="shared" ref="C28" ca="1" si="30">IF(C11&lt;0,IF(C12&gt;0,1,0),IF(C12&lt;0,1,0))</f>
        <v>#N/A</v>
      </c>
      <c r="D28" s="1" t="e">
        <f t="shared" ref="D28" ca="1" si="31">IF(D11&lt;0,IF(D12&gt;0,1,0),IF(D12&lt;0,1,0))</f>
        <v>#N/A</v>
      </c>
      <c r="E28" s="1" t="e">
        <f t="shared" ca="1" si="7"/>
        <v>#N/A</v>
      </c>
      <c r="F28" s="1" t="e">
        <f t="shared" ca="1" si="7"/>
        <v>#N/A</v>
      </c>
    </row>
    <row r="29" spans="1:6" x14ac:dyDescent="0.3">
      <c r="A29" s="3">
        <f t="shared" ca="1" si="3"/>
        <v>44733</v>
      </c>
      <c r="B29" s="1" t="e">
        <f t="shared" ref="B29" ca="1" si="32">IF(B12&lt;0,IF(B13&gt;0,1,0),IF(B13&lt;0,1,0))</f>
        <v>#N/A</v>
      </c>
      <c r="C29" s="1" t="e">
        <f t="shared" ref="C29" ca="1" si="33">IF(C12&lt;0,IF(C13&gt;0,1,0),IF(C13&lt;0,1,0))</f>
        <v>#N/A</v>
      </c>
      <c r="D29" s="1" t="e">
        <f t="shared" ref="D29" ca="1" si="34">IF(D12&lt;0,IF(D13&gt;0,1,0),IF(D13&lt;0,1,0))</f>
        <v>#N/A</v>
      </c>
      <c r="E29" s="1" t="e">
        <f t="shared" ca="1" si="7"/>
        <v>#N/A</v>
      </c>
      <c r="F29" s="1" t="e">
        <f t="shared" ca="1" si="7"/>
        <v>#N/A</v>
      </c>
    </row>
    <row r="30" spans="1:6" x14ac:dyDescent="0.3">
      <c r="A30" s="3">
        <f t="shared" ca="1" si="3"/>
        <v>44732</v>
      </c>
      <c r="B30" s="1" t="e">
        <f t="shared" ref="B30" ca="1" si="35">IF(B13&lt;0,IF(B14&gt;0,1,0),IF(B14&lt;0,1,0))</f>
        <v>#N/A</v>
      </c>
      <c r="C30" s="1" t="e">
        <f t="shared" ref="C30" ca="1" si="36">IF(C13&lt;0,IF(C14&gt;0,1,0),IF(C14&lt;0,1,0))</f>
        <v>#N/A</v>
      </c>
      <c r="D30" s="1" t="e">
        <f t="shared" ref="D30" ca="1" si="37">IF(D13&lt;0,IF(D14&gt;0,1,0),IF(D14&lt;0,1,0))</f>
        <v>#N/A</v>
      </c>
      <c r="E30" s="1" t="e">
        <f t="shared" ca="1" si="7"/>
        <v>#N/A</v>
      </c>
      <c r="F30" s="1" t="e">
        <f t="shared" ca="1" si="7"/>
        <v>#N/A</v>
      </c>
    </row>
    <row r="31" spans="1:6" x14ac:dyDescent="0.3">
      <c r="A31" s="3">
        <f t="shared" ca="1" si="3"/>
        <v>44731</v>
      </c>
      <c r="B31" s="1" t="e">
        <f t="shared" ref="B31" ca="1" si="38">IF(B14&lt;0,IF(B15&gt;0,1,0),IF(B15&lt;0,1,0))</f>
        <v>#N/A</v>
      </c>
      <c r="C31" s="1" t="e">
        <f t="shared" ref="C31" ca="1" si="39">IF(C14&lt;0,IF(C15&gt;0,1,0),IF(C15&lt;0,1,0))</f>
        <v>#N/A</v>
      </c>
      <c r="D31" s="1" t="e">
        <f t="shared" ref="D31" ca="1" si="40">IF(D14&lt;0,IF(D15&gt;0,1,0),IF(D15&lt;0,1,0))</f>
        <v>#N/A</v>
      </c>
      <c r="E31" s="1" t="e">
        <f t="shared" ca="1" si="7"/>
        <v>#N/A</v>
      </c>
      <c r="F31" s="1" t="e">
        <f t="shared" ca="1" si="7"/>
        <v>#N/A</v>
      </c>
    </row>
    <row r="32" spans="1:6" x14ac:dyDescent="0.3">
      <c r="A32" s="3">
        <f t="shared" ca="1" si="3"/>
        <v>44730</v>
      </c>
      <c r="B32" s="1" t="e">
        <f t="shared" ref="B32" ca="1" si="41">IF(B15&lt;0,IF(B16&gt;0,1,0),IF(B16&lt;0,1,0))</f>
        <v>#N/A</v>
      </c>
      <c r="C32" s="1" t="e">
        <f t="shared" ref="C32" ca="1" si="42">IF(C15&lt;0,IF(C16&gt;0,1,0),IF(C16&lt;0,1,0))</f>
        <v>#N/A</v>
      </c>
      <c r="D32" s="1" t="e">
        <f t="shared" ref="D32" ca="1" si="43">IF(D15&lt;0,IF(D16&gt;0,1,0),IF(D16&lt;0,1,0))</f>
        <v>#N/A</v>
      </c>
      <c r="E32" s="1" t="e">
        <f t="shared" ca="1" si="7"/>
        <v>#N/A</v>
      </c>
      <c r="F32" s="1" t="e">
        <f t="shared" ca="1" si="7"/>
        <v>#N/A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1C8F-BBB0-4663-9829-EF566348F049}">
  <dimension ref="A1:F6"/>
  <sheetViews>
    <sheetView workbookViewId="0"/>
  </sheetViews>
  <sheetFormatPr defaultRowHeight="14.4" x14ac:dyDescent="0.3"/>
  <cols>
    <col min="1" max="1" width="19.21875" customWidth="1"/>
    <col min="2" max="6" width="11.33203125" bestFit="1" customWidth="1"/>
  </cols>
  <sheetData>
    <row r="1" spans="1:6" x14ac:dyDescent="0.3">
      <c r="A1" s="10" t="s">
        <v>6</v>
      </c>
      <c r="B1" s="8" t="str">
        <f>Table1[[#Headers],[200121-00001]]</f>
        <v>200121-00001</v>
      </c>
      <c r="C1" s="8" t="e">
        <f>#REF!</f>
        <v>#REF!</v>
      </c>
      <c r="D1" s="8" t="str">
        <f>Table1[[#Headers],[200121-0003]]</f>
        <v>200121-0003</v>
      </c>
      <c r="E1" s="8" t="str">
        <f>Table1[[#Headers],[200121-0004]]</f>
        <v>200121-0004</v>
      </c>
      <c r="F1" s="8" t="str">
        <f>Table1[[#Headers],[200121-0005]]</f>
        <v>200121-0005</v>
      </c>
    </row>
    <row r="2" spans="1:6" x14ac:dyDescent="0.3">
      <c r="A2" s="9" t="s">
        <v>11</v>
      </c>
      <c r="B2" s="5"/>
      <c r="C2" s="5"/>
      <c r="D2" s="5"/>
      <c r="E2" s="5"/>
      <c r="F2" s="5"/>
    </row>
    <row r="3" spans="1:6" x14ac:dyDescent="0.3">
      <c r="A3" s="11" t="s">
        <v>7</v>
      </c>
      <c r="B3" s="6" t="e">
        <f ca="1">Table5[200121-0001]</f>
        <v>#N/A</v>
      </c>
      <c r="C3" s="6" t="e">
        <f ca="1">Table5[200121-0002]</f>
        <v>#N/A</v>
      </c>
      <c r="D3" s="6" t="e">
        <f ca="1">Table5[200121-0003]</f>
        <v>#N/A</v>
      </c>
      <c r="E3" s="6" t="e">
        <f ca="1">Table5[200121-0004]</f>
        <v>#N/A</v>
      </c>
      <c r="F3" s="6" t="e">
        <f ca="1">Table5[200121-0005]</f>
        <v>#N/A</v>
      </c>
    </row>
    <row r="4" spans="1:6" x14ac:dyDescent="0.3">
      <c r="A4" s="12" t="s">
        <v>8</v>
      </c>
      <c r="B4" s="7" t="str">
        <f ca="1">Bias!B10</f>
        <v>NORMAL</v>
      </c>
      <c r="C4" s="7" t="str">
        <f ca="1">Bias!C10</f>
        <v>NORMAL</v>
      </c>
      <c r="D4" s="7" t="str">
        <f ca="1">Bias!D10</f>
        <v>NORMAL</v>
      </c>
      <c r="E4" s="7" t="str">
        <f ca="1">Bias!E10</f>
        <v>NORMAL</v>
      </c>
      <c r="F4" s="7" t="str">
        <f ca="1">Bias!F10</f>
        <v>NORMAL</v>
      </c>
    </row>
    <row r="5" spans="1:6" x14ac:dyDescent="0.3">
      <c r="A5" s="11" t="s">
        <v>9</v>
      </c>
      <c r="B5" s="6" t="str">
        <f ca="1">Trend!B10</f>
        <v>NORMAL</v>
      </c>
      <c r="C5" s="6" t="str">
        <f ca="1">Trend!C10</f>
        <v>NORMAL</v>
      </c>
      <c r="D5" s="6" t="str">
        <f ca="1">Trend!D10</f>
        <v>NORMAL</v>
      </c>
      <c r="E5" s="6" t="str">
        <f ca="1">Trend!E10</f>
        <v>NORMAL</v>
      </c>
      <c r="F5" s="6" t="str">
        <f ca="1">Trend!F10</f>
        <v>NORMAL</v>
      </c>
    </row>
    <row r="6" spans="1:6" x14ac:dyDescent="0.3">
      <c r="A6" s="12" t="s">
        <v>10</v>
      </c>
      <c r="B6" s="7" t="e">
        <f ca="1">'Over Control'!B18</f>
        <v>#N/A</v>
      </c>
      <c r="C6" s="7" t="e">
        <f ca="1">'Over Control'!C18</f>
        <v>#N/A</v>
      </c>
      <c r="D6" s="7" t="e">
        <f ca="1">'Over Control'!D18</f>
        <v>#N/A</v>
      </c>
      <c r="E6" s="7" t="e">
        <f ca="1">'Over Control'!E18</f>
        <v>#N/A</v>
      </c>
      <c r="F6" s="7" t="e">
        <f ca="1">'Over Control'!F18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Current Value</vt:lpstr>
      <vt:lpstr>UCL</vt:lpstr>
      <vt:lpstr>LCL</vt:lpstr>
      <vt:lpstr>AVG</vt:lpstr>
      <vt:lpstr>Beyond Limit</vt:lpstr>
      <vt:lpstr>Bias</vt:lpstr>
      <vt:lpstr>Trend</vt:lpstr>
      <vt:lpstr>Over Control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Sonti Sreechay</dc:creator>
  <cp:lastModifiedBy>BARA</cp:lastModifiedBy>
  <dcterms:created xsi:type="dcterms:W3CDTF">2022-05-10T12:59:41Z</dcterms:created>
  <dcterms:modified xsi:type="dcterms:W3CDTF">2022-05-30T18:37:05Z</dcterms:modified>
</cp:coreProperties>
</file>