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\Documents\UiPath\HMC_Control_Chart\template\"/>
    </mc:Choice>
  </mc:AlternateContent>
  <xr:revisionPtr revIDLastSave="0" documentId="13_ncr:1_{94FA2C64-2F8D-42B7-B72D-1F2144B41729}" xr6:coauthVersionLast="47" xr6:coauthVersionMax="47" xr10:uidLastSave="{00000000-0000-0000-0000-000000000000}"/>
  <bookViews>
    <workbookView xWindow="348" yWindow="960" windowWidth="16824" windowHeight="8964" activeTab="3" xr2:uid="{5299F01B-EB23-4A7A-B111-892698149075}"/>
  </bookViews>
  <sheets>
    <sheet name="Current Value" sheetId="1" r:id="rId1"/>
    <sheet name="UCL" sheetId="2" r:id="rId2"/>
    <sheet name="LCL" sheetId="3" r:id="rId3"/>
    <sheet name="AVG" sheetId="4" r:id="rId4"/>
    <sheet name="Over Control" sheetId="8" r:id="rId5"/>
    <sheet name="Beyond Limit" sheetId="5" r:id="rId6"/>
    <sheet name="Bias" sheetId="6" r:id="rId7"/>
    <sheet name="Trend" sheetId="7" r:id="rId8"/>
    <sheet name="Summary" sheetId="9" r:id="rId9"/>
    <sheet name="Raw Data" sheetId="12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5" i="8" l="1"/>
  <c r="A14" i="8"/>
  <c r="A13" i="8"/>
  <c r="A12" i="8"/>
  <c r="A11" i="8"/>
  <c r="A10" i="8"/>
  <c r="A9" i="8"/>
  <c r="A8" i="8"/>
  <c r="A7" i="8"/>
  <c r="A6" i="8"/>
  <c r="A5" i="8"/>
  <c r="A4" i="8"/>
  <c r="A3" i="8"/>
  <c r="A2" i="8"/>
  <c r="B2" i="9"/>
  <c r="B1" i="9"/>
  <c r="N5" i="12"/>
  <c r="M5" i="12"/>
  <c r="L5" i="12"/>
  <c r="K5" i="12"/>
  <c r="N4" i="12"/>
  <c r="M4" i="12"/>
  <c r="L4" i="12"/>
  <c r="K4" i="12"/>
  <c r="N3" i="12"/>
  <c r="M3" i="12"/>
  <c r="L3" i="12"/>
  <c r="K3" i="12"/>
  <c r="A9" i="7"/>
  <c r="A8" i="7"/>
  <c r="A7" i="7"/>
  <c r="A6" i="7"/>
  <c r="A5" i="7"/>
  <c r="A4" i="7"/>
  <c r="A3" i="7"/>
  <c r="A2" i="7"/>
  <c r="A9" i="6"/>
  <c r="A8" i="6"/>
  <c r="A7" i="6"/>
  <c r="A6" i="6"/>
  <c r="A5" i="6"/>
  <c r="A4" i="6"/>
  <c r="A3" i="6"/>
  <c r="A2" i="6"/>
  <c r="A2" i="5"/>
  <c r="B2" i="8" l="1"/>
  <c r="B10" i="8"/>
  <c r="B9" i="8"/>
  <c r="B8" i="8"/>
  <c r="B7" i="8"/>
  <c r="B14" i="8"/>
  <c r="B6" i="8"/>
  <c r="B13" i="8"/>
  <c r="B5" i="8"/>
  <c r="B12" i="8"/>
  <c r="B4" i="8"/>
  <c r="B11" i="8"/>
  <c r="B3" i="8"/>
  <c r="A31" i="8"/>
  <c r="A27" i="8"/>
  <c r="A23" i="8"/>
  <c r="A30" i="8"/>
  <c r="A26" i="8"/>
  <c r="A22" i="8"/>
  <c r="A29" i="8"/>
  <c r="A25" i="8"/>
  <c r="A21" i="8"/>
  <c r="A32" i="8"/>
  <c r="A28" i="8"/>
  <c r="A24" i="8"/>
  <c r="A20" i="8"/>
  <c r="A19" i="8"/>
  <c r="B5" i="7"/>
  <c r="B4" i="7"/>
  <c r="B7" i="7"/>
  <c r="B3" i="7"/>
  <c r="B6" i="7"/>
  <c r="B2" i="7"/>
  <c r="B10" i="7" s="1"/>
  <c r="B8" i="7"/>
  <c r="B9" i="7"/>
  <c r="B2" i="6"/>
  <c r="B2" i="5"/>
  <c r="B5" i="9" s="1"/>
  <c r="B9" i="9" l="1"/>
  <c r="B19" i="8"/>
  <c r="B32" i="8"/>
  <c r="B4" i="9"/>
  <c r="J5" i="12"/>
  <c r="J2" i="12"/>
  <c r="J4" i="12"/>
  <c r="J3" i="12"/>
  <c r="I5" i="12"/>
  <c r="I4" i="12"/>
  <c r="I3" i="12"/>
  <c r="I2" i="12"/>
  <c r="B27" i="8"/>
  <c r="B23" i="8"/>
  <c r="B28" i="8"/>
  <c r="B21" i="8"/>
  <c r="B26" i="8"/>
  <c r="B20" i="8"/>
  <c r="B25" i="8"/>
  <c r="B30" i="8"/>
  <c r="B31" i="8"/>
  <c r="B24" i="8"/>
  <c r="B29" i="8"/>
  <c r="B22" i="8"/>
  <c r="B3" i="6"/>
  <c r="B18" i="8" l="1"/>
  <c r="N2" i="12"/>
  <c r="M2" i="12"/>
  <c r="B8" i="9"/>
  <c r="P3" i="12"/>
  <c r="H3" i="12" s="1"/>
  <c r="P4" i="12"/>
  <c r="H4" i="12" s="1"/>
  <c r="P5" i="12"/>
  <c r="H5" i="12" s="1"/>
  <c r="B4" i="6"/>
  <c r="P2" i="12" l="1"/>
  <c r="B10" i="9"/>
  <c r="B5" i="6"/>
  <c r="B6" i="6" l="1"/>
  <c r="B7" i="6" l="1"/>
  <c r="B8" i="6" l="1"/>
  <c r="B10" i="6" s="1"/>
  <c r="B7" i="9" s="1"/>
  <c r="L2" i="12" l="1"/>
  <c r="K2" i="12"/>
  <c r="B6" i="9"/>
  <c r="B3" i="9" s="1"/>
  <c r="B9" i="6"/>
  <c r="H2" i="12" l="1"/>
</calcChain>
</file>

<file path=xl/sharedStrings.xml><?xml version="1.0" encoding="utf-8"?>
<sst xmlns="http://schemas.openxmlformats.org/spreadsheetml/2006/main" count="128" uniqueCount="53">
  <si>
    <t>Item ID/Series</t>
  </si>
  <si>
    <t>200121-0001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</si>
  <si>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</si>
  <si>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</si>
  <si>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</si>
  <si>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</si>
  <si>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</si>
  <si>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</si>
  <si>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</si>
  <si>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</si>
  <si>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</si>
  <si>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</si>
  <si>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</si>
  <si>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</si>
  <si>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</si>
  <si>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</si>
  <si>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</si>
  <si>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</si>
  <si>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Item ID/Date</t>
  </si>
  <si>
    <t>ITEM ID</t>
  </si>
  <si>
    <t>Normal</t>
  </si>
  <si>
    <t>Beyond Limit - Over</t>
  </si>
  <si>
    <t>Beyond Limit - Under</t>
  </si>
  <si>
    <t>Bias - UWL</t>
  </si>
  <si>
    <t>Bias - LWL</t>
  </si>
  <si>
    <t>Trend - Up</t>
  </si>
  <si>
    <t>Trend - Down</t>
  </si>
  <si>
    <t>Over Control</t>
  </si>
  <si>
    <t>ITEM_ID</t>
  </si>
  <si>
    <t>PARAMETER_NAME</t>
  </si>
  <si>
    <t>SAMPLE_ID</t>
  </si>
  <si>
    <t>VALUE</t>
  </si>
  <si>
    <t>UCL_VALUE</t>
  </si>
  <si>
    <t>LCL_VALUE</t>
  </si>
  <si>
    <t>AVG_VALUE</t>
  </si>
  <si>
    <t>NORMAL_VALUE</t>
  </si>
  <si>
    <t>BEYOND_OVER</t>
  </si>
  <si>
    <t>BEYOND_UNDER</t>
  </si>
  <si>
    <t>BIAS_UWL</t>
  </si>
  <si>
    <t>BIAS_LWL</t>
  </si>
  <si>
    <t>TREND_UP</t>
  </si>
  <si>
    <t>TREND_DOWN</t>
  </si>
  <si>
    <t>OVER_CONTROL</t>
  </si>
  <si>
    <t>CREATE_TIME
(Date / Time)</t>
  </si>
  <si>
    <t>AAAAAAAAAA</t>
  </si>
  <si>
    <t>000001</t>
  </si>
  <si>
    <t>000002</t>
  </si>
  <si>
    <t>- Insert New Record</t>
  </si>
  <si>
    <t>- Update Existing Record</t>
  </si>
  <si>
    <t>Parameter Name</t>
  </si>
  <si>
    <t>Control Type\Name</t>
  </si>
  <si>
    <t>903-00009</t>
  </si>
  <si>
    <t>High MFR by MI40 No1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</si>
</sst>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quotePrefix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14" fontId="0" fillId="0" borderId="1" xfId="0" quotePrefix="1" applyNumberFormat="1" applyBorder="1"/>
    <xf numFmtId="0" fontId="0" fillId="0" borderId="1" xfId="0" applyBorder="1"/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4" borderId="0" xfId="0" quotePrefix="1" applyFill="1"/>
    <xf numFmtId="0" fontId="0" fillId="4" borderId="0" xfId="0" applyFill="1"/>
    <xf numFmtId="0" fontId="0" fillId="2" borderId="0" xfId="0" quotePrefix="1" applyFill="1"/>
    <xf numFmtId="0" fontId="0" fillId="2" borderId="0" xfId="0" applyFill="1"/>
    <xf numFmtId="0" fontId="2" fillId="0" borderId="0" xfId="0" applyNumberFormat="1" applyFont="1" applyAlignment="1">
      <alignment horizontal="center"/>
    </xf>
    <xf numFmtId="0" fontId="0" fillId="6" borderId="0" xfId="0" applyFill="1" applyAlignment="1">
      <alignment horizontal="center"/>
    </xf>
    <xf numFmtId="0" fontId="2" fillId="6" borderId="0" xfId="0" applyFont="1" applyFill="1"/>
    <xf numFmtId="0" fontId="2" fillId="7" borderId="0" xfId="0" applyFont="1" applyFill="1"/>
    <xf numFmtId="0" fontId="0" fillId="7" borderId="0" xfId="0" applyFill="1" applyAlignment="1">
      <alignment horizontal="center"/>
    </xf>
    <xf numFmtId="0" fontId="5" fillId="6" borderId="0" xfId="0" applyFont="1" applyFill="1" applyAlignment="1">
      <alignment horizontal="left"/>
    </xf>
    <xf numFmtId="0" fontId="1" fillId="8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alignment horizontal="center" vertical="bottom" textRotation="0" wrapText="0" indent="0" justifyLastLine="0" shrinkToFit="0" readingOrder="0"/>
    </dxf>
    <dxf>
      <numFmt numFmtId="164" formatCode="dd/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C66DF7-5B1B-47B9-8543-EB0C647C974C}" name="Table1" displayName="Table1" ref="A1:B18" totalsRowShown="0" headerRowDxfId="29" dataDxfId="28">
  <tableColumns count="2">
    <tableColumn id="1" xr3:uid="{80FAA0F0-70E8-41C3-9D37-ECEB541C509F}" name="Item ID/Series" dataDxfId="27"/>
    <tableColumn id="2" xr3:uid="{34103340-B05B-4F86-9C6F-8BFD23D0CEE1}" name="903-00009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4D22F3-2170-4D71-9BCB-78482AB2D3FD}" name="Table2" displayName="Table2" ref="A1:B18" totalsRowShown="0" headerRowDxfId="25" dataDxfId="24">
  <tableColumns count="2">
    <tableColumn id="1" xr3:uid="{9F4BD218-AE6A-484D-A69F-11F5395B9B90}" name="Item ID/Series" dataDxfId="23"/>
    <tableColumn id="2" xr3:uid="{60E13639-AB18-46D0-85A5-5819B7D475A7}" name="903-00009" dataDxfId="2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8F87F1-065B-4D65-87F3-78B0CBE2CFD9}" name="Table3" displayName="Table3" ref="A1:B18" totalsRowShown="0" headerRowDxfId="21" dataDxfId="20">
  <tableColumns count="2">
    <tableColumn id="1" xr3:uid="{D0D567E8-82BE-47FB-B082-79AF4CE298F3}" name="Item ID/Series" dataDxfId="19"/>
    <tableColumn id="2" xr3:uid="{9BF7A258-30D6-4D43-A1D6-01440A19A2F3}" name="903-00009" dataDxfId="18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2E8F20-7360-4D1C-A89E-C310E6057FCA}" name="Table4" displayName="Table4" ref="A1:B18" totalsRowShown="0" headerRowDxfId="17">
  <tableColumns count="2">
    <tableColumn id="1" xr3:uid="{1D9DD1E2-B144-44B7-A40F-7083EDA8B607}" name="Item ID/Series" dataDxfId="16"/>
    <tableColumn id="2" xr3:uid="{E7AEA9F6-9D59-458F-BC29-FF2D1097529B}" name="903-00009">
      <calculatedColumnFormula>LCL!B3+(UCL!B3-LCL!B3)/2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0D72A3-4A2A-4607-AF95-2C0DDA85B11E}" name="Table8" displayName="Table8" ref="A1:B32" totalsRowShown="0" headerRowDxfId="15" dataDxfId="14">
  <tableColumns count="2">
    <tableColumn id="1" xr3:uid="{1546DF79-DF85-4A4D-9616-BD601FC73A47}" name="Item ID/Date" dataDxfId="13"/>
    <tableColumn id="2" xr3:uid="{51FCA62E-DA69-4104-A37E-9140A08E32F5}" name="200121-0001" dataDxfId="12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CDDC55-2D06-4429-B8DA-78B3E1F44AA6}" name="Table5" displayName="Table5" ref="A1:B2" totalsRowShown="0" headerRowDxfId="11" dataDxfId="10">
  <tableColumns count="2">
    <tableColumn id="1" xr3:uid="{65801701-5382-4998-A18C-A26CB40D7E5F}" name="Item ID/Date" dataDxfId="9">
      <calculatedColumnFormula>OFFSET('Current Value'!A1,COUNTA('Current Value'!A:A)-1,0)</calculatedColumnFormula>
    </tableColumn>
    <tableColumn id="2" xr3:uid="{BE97CBDD-056E-41E4-B87E-DC446837E0DA}" name="200121-0001" dataDxfId="8">
      <calculatedColumnFormula>IF(VLOOKUP($A$2,'Current Value'!$A$1:$B$18,2,TRUE) &gt; VLOOKUP($A$2,UCL!$A$3:$B$17,2,TRUE),"OVER",IF(VLOOKUP($A$2,'Current Value'!$A$1:$B$18,2,TRUE) &lt; VLOOKUP($A$2,LCL!$A$1:$B$17,2,TRUE),"UNDER","NORMAL"))</calculatedColumnFormula>
    </tableColumn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C0406C-1B74-49CB-BE32-788D2B4B3745}" name="Table6" displayName="Table6" ref="A1:B10" totalsRowShown="0" headerRowDxfId="7" dataDxfId="6">
  <tableColumns count="2">
    <tableColumn id="1" xr3:uid="{20E96194-174B-4431-9080-0C4FB9E12F8C}" name="Item ID/Date" dataDxfId="5"/>
    <tableColumn id="2" xr3:uid="{D8407472-E6D1-4E7D-9B93-EBFDAB7F8870}" name="200121-0001" dataDxfId="4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D1169B1-437C-433B-A25E-0DA21D99550B}" name="Table7" displayName="Table7" ref="A1:B10" totalsRowShown="0" headerRowDxfId="3" dataDxfId="2">
  <tableColumns count="2">
    <tableColumn id="1" xr3:uid="{301558A0-1F7D-41AF-9362-4C5B6A71F7D9}" name="Item ID/Date" dataDxfId="1"/>
    <tableColumn id="2" xr3:uid="{F3310B68-681B-4EBB-8B47-6DF8805FD8DB}" name="200121-0001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9537B-4C1D-4580-929E-2711888AF2CC}">
  <dimension ref="A1:B18"/>
  <sheetViews>
    <sheetView topLeftCell="A10" zoomScaleNormal="100" workbookViewId="0">
      <selection activeCell="B12" sqref="B12"/>
    </sheetView>
  </sheetViews>
  <sheetFormatPr defaultRowHeight="14.4" x14ac:dyDescent="0.3"/>
  <cols>
    <col min="1" max="1" width="15.33203125" bestFit="1" customWidth="1"/>
    <col min="2" max="6" width="13.109375" customWidth="1"/>
  </cols>
  <sheetData>
    <row r="1" spans="1:2" s="1" customFormat="1" x14ac:dyDescent="0.3">
      <c r="A1" s="4" t="s">
        <v>0</v>
      </c>
      <c r="B1" s="1" t="s">
        <v>51</v>
      </c>
    </row>
    <row r="2" spans="1:2" s="1" customFormat="1" x14ac:dyDescent="0.3">
      <c r="A2" s="22" t="s">
        <v>49</v>
      </c>
      <c r="B2" s="1" t="s">
        <v>52</v>
      </c>
    </row>
    <row r="3" spans="1:2" s="1" customFormat="1" x14ac:dyDescent="0.3">
      <c r="A3" s="7" t="s">
        <v>2</v>
      </c>
      <c r="B3" s="1">
        <v>42.02</v>
      </c>
    </row>
    <row r="4" spans="1:2" x14ac:dyDescent="0.3">
      <c r="A4" s="7" t="s">
        <v>3</v>
      </c>
      <c r="B4" s="1">
        <v>42.53</v>
      </c>
    </row>
    <row r="5" spans="1:2" x14ac:dyDescent="0.3">
      <c r="A5" s="7" t="s">
        <v>4</v>
      </c>
      <c r="B5" s="1">
        <v>42.54</v>
      </c>
    </row>
    <row r="6" spans="1:2" x14ac:dyDescent="0.3">
      <c r="A6" s="7" t="s">
        <v>5</v>
      </c>
      <c r="B6" s="1">
        <v>43</v>
      </c>
    </row>
    <row r="7" spans="1:2" x14ac:dyDescent="0.3">
      <c r="A7" s="7" t="s">
        <v>6</v>
      </c>
      <c r="B7" s="1">
        <v>42.48</v>
      </c>
    </row>
    <row r="8" spans="1:2" x14ac:dyDescent="0.3">
      <c r="A8" s="7" t="s">
        <v>7</v>
      </c>
      <c r="B8" s="1">
        <v>41.72</v>
      </c>
    </row>
    <row r="9" spans="1:2" x14ac:dyDescent="0.3">
      <c r="A9" s="7" t="s">
        <v>8</v>
      </c>
      <c r="B9" s="1">
        <v>42.25</v>
      </c>
    </row>
    <row r="10" spans="1:2" x14ac:dyDescent="0.3">
      <c r="A10" s="7" t="s">
        <v>9</v>
      </c>
      <c r="B10" s="1">
        <v>41.69</v>
      </c>
    </row>
    <row r="11" spans="1:2" x14ac:dyDescent="0.3">
      <c r="A11" s="7" t="s">
        <v>10</v>
      </c>
      <c r="B11" s="1">
        <v>41.55</v>
      </c>
    </row>
    <row r="12" spans="1:2" x14ac:dyDescent="0.3">
      <c r="A12" s="7" t="s">
        <v>11</v>
      </c>
      <c r="B12" s="1">
        <v>42.55</v>
      </c>
    </row>
    <row r="13" spans="1:2" x14ac:dyDescent="0.3">
      <c r="A13" s="7" t="s">
        <v>12</v>
      </c>
      <c r="B13" s="1">
        <v>42.41</v>
      </c>
    </row>
    <row r="14" spans="1:2" x14ac:dyDescent="0.3">
      <c r="A14" s="7" t="s">
        <v>13</v>
      </c>
      <c r="B14" s="1">
        <v>42.27</v>
      </c>
    </row>
    <row r="15" spans="1:2" x14ac:dyDescent="0.3">
      <c r="A15" s="7" t="s">
        <v>14</v>
      </c>
      <c r="B15" s="1">
        <v>42.11</v>
      </c>
    </row>
    <row r="16" spans="1:2" x14ac:dyDescent="0.3">
      <c r="A16" s="7" t="s">
        <v>15</v>
      </c>
      <c r="B16" s="1">
        <v>41.98</v>
      </c>
    </row>
    <row r="17" spans="1:2" x14ac:dyDescent="0.3">
      <c r="A17" s="7" t="s">
        <v>16</v>
      </c>
      <c r="B17" s="1">
        <v>41.87</v>
      </c>
    </row>
    <row r="18" spans="1:2" x14ac:dyDescent="0.3">
      <c r="A18" s="7" t="s">
        <v>17</v>
      </c>
      <c r="B18" s="1">
        <v>41.64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BC6B-0310-413F-BA6F-D9F42B930036}">
  <dimension ref="A1:B18"/>
  <sheetViews>
    <sheetView zoomScaleNormal="100" workbookViewId="0">
      <selection activeCell="C11" sqref="C11"/>
    </sheetView>
  </sheetViews>
  <sheetFormatPr defaultRowHeight="14.4" x14ac:dyDescent="0.3"/>
  <cols>
    <col min="1" max="1" width="15.33203125" bestFit="1" customWidth="1"/>
    <col min="2" max="6" width="13.109375" customWidth="1"/>
  </cols>
  <sheetData>
    <row r="1" spans="1:2" x14ac:dyDescent="0.3">
      <c r="A1" s="4" t="s">
        <v>0</v>
      </c>
      <c r="B1" s="1" t="s">
        <v>51</v>
      </c>
    </row>
    <row r="2" spans="1:2" x14ac:dyDescent="0.3">
      <c r="A2" s="22" t="s">
        <v>49</v>
      </c>
      <c r="B2" s="1" t="s">
        <v>52</v>
      </c>
    </row>
    <row r="3" spans="1:2" x14ac:dyDescent="0.3">
      <c r="A3" s="1" t="s">
        <v>2</v>
      </c>
      <c r="B3" s="1">
        <v>42.75</v>
      </c>
    </row>
    <row r="4" spans="1:2" x14ac:dyDescent="0.3">
      <c r="A4" s="1" t="s">
        <v>3</v>
      </c>
      <c r="B4" s="1">
        <v>42.75</v>
      </c>
    </row>
    <row r="5" spans="1:2" x14ac:dyDescent="0.3">
      <c r="A5" s="1" t="s">
        <v>4</v>
      </c>
      <c r="B5" s="1">
        <v>42.75</v>
      </c>
    </row>
    <row r="6" spans="1:2" x14ac:dyDescent="0.3">
      <c r="A6" s="1" t="s">
        <v>5</v>
      </c>
      <c r="B6" s="1">
        <v>42.75</v>
      </c>
    </row>
    <row r="7" spans="1:2" x14ac:dyDescent="0.3">
      <c r="A7" s="1" t="s">
        <v>6</v>
      </c>
      <c r="B7" s="1">
        <v>42.75</v>
      </c>
    </row>
    <row r="8" spans="1:2" x14ac:dyDescent="0.3">
      <c r="A8" s="1" t="s">
        <v>7</v>
      </c>
      <c r="B8" s="1">
        <v>42.75</v>
      </c>
    </row>
    <row r="9" spans="1:2" x14ac:dyDescent="0.3">
      <c r="A9" s="1" t="s">
        <v>8</v>
      </c>
      <c r="B9" s="1">
        <v>42.75</v>
      </c>
    </row>
    <row r="10" spans="1:2" x14ac:dyDescent="0.3">
      <c r="A10" s="1" t="s">
        <v>9</v>
      </c>
      <c r="B10" s="1">
        <v>42.75</v>
      </c>
    </row>
    <row r="11" spans="1:2" x14ac:dyDescent="0.3">
      <c r="A11" s="1" t="s">
        <v>10</v>
      </c>
      <c r="B11" s="1">
        <v>42.75</v>
      </c>
    </row>
    <row r="12" spans="1:2" x14ac:dyDescent="0.3">
      <c r="A12" s="1" t="s">
        <v>11</v>
      </c>
      <c r="B12" s="1">
        <v>42.75</v>
      </c>
    </row>
    <row r="13" spans="1:2" x14ac:dyDescent="0.3">
      <c r="A13" s="1" t="s">
        <v>12</v>
      </c>
      <c r="B13" s="1">
        <v>42.75</v>
      </c>
    </row>
    <row r="14" spans="1:2" x14ac:dyDescent="0.3">
      <c r="A14" s="1" t="s">
        <v>13</v>
      </c>
      <c r="B14" s="1">
        <v>42.75</v>
      </c>
    </row>
    <row r="15" spans="1:2" x14ac:dyDescent="0.3">
      <c r="A15" s="1" t="s">
        <v>14</v>
      </c>
      <c r="B15" s="1">
        <v>42.75</v>
      </c>
    </row>
    <row r="16" spans="1:2" x14ac:dyDescent="0.3">
      <c r="A16" s="1" t="s">
        <v>15</v>
      </c>
      <c r="B16" s="1">
        <v>42.75</v>
      </c>
    </row>
    <row r="17" spans="1:2" x14ac:dyDescent="0.3">
      <c r="A17" s="1" t="s">
        <v>16</v>
      </c>
      <c r="B17" s="1">
        <v>42.75</v>
      </c>
    </row>
    <row r="18" spans="1:2" x14ac:dyDescent="0.3">
      <c r="A18" s="1" t="s">
        <v>17</v>
      </c>
      <c r="B18" s="1">
        <v>42.75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0DAFC-6322-4A89-8964-70CD2731E5E8}">
  <dimension ref="A1:B18"/>
  <sheetViews>
    <sheetView zoomScaleNormal="100" workbookViewId="0">
      <selection activeCell="C12" sqref="C12"/>
    </sheetView>
  </sheetViews>
  <sheetFormatPr defaultRowHeight="14.4" x14ac:dyDescent="0.3"/>
  <cols>
    <col min="1" max="1" width="15.33203125" bestFit="1" customWidth="1"/>
    <col min="2" max="6" width="13.109375" customWidth="1"/>
  </cols>
  <sheetData>
    <row r="1" spans="1:2" x14ac:dyDescent="0.3">
      <c r="A1" s="4" t="s">
        <v>0</v>
      </c>
      <c r="B1" s="1" t="s">
        <v>51</v>
      </c>
    </row>
    <row r="2" spans="1:2" x14ac:dyDescent="0.3">
      <c r="A2" s="22" t="s">
        <v>49</v>
      </c>
      <c r="B2" s="1" t="s">
        <v>52</v>
      </c>
    </row>
    <row r="3" spans="1:2" x14ac:dyDescent="0.3">
      <c r="A3" s="1" t="s">
        <v>2</v>
      </c>
      <c r="B3" s="1">
        <v>41.11</v>
      </c>
    </row>
    <row r="4" spans="1:2" x14ac:dyDescent="0.3">
      <c r="A4" s="1" t="s">
        <v>3</v>
      </c>
      <c r="B4" s="1">
        <v>41.11</v>
      </c>
    </row>
    <row r="5" spans="1:2" x14ac:dyDescent="0.3">
      <c r="A5" s="1" t="s">
        <v>4</v>
      </c>
      <c r="B5" s="1">
        <v>41.11</v>
      </c>
    </row>
    <row r="6" spans="1:2" x14ac:dyDescent="0.3">
      <c r="A6" s="1" t="s">
        <v>5</v>
      </c>
      <c r="B6" s="1">
        <v>41.11</v>
      </c>
    </row>
    <row r="7" spans="1:2" x14ac:dyDescent="0.3">
      <c r="A7" s="1" t="s">
        <v>6</v>
      </c>
      <c r="B7" s="1">
        <v>41.11</v>
      </c>
    </row>
    <row r="8" spans="1:2" x14ac:dyDescent="0.3">
      <c r="A8" s="1" t="s">
        <v>7</v>
      </c>
      <c r="B8" s="1">
        <v>41.11</v>
      </c>
    </row>
    <row r="9" spans="1:2" x14ac:dyDescent="0.3">
      <c r="A9" s="1" t="s">
        <v>8</v>
      </c>
      <c r="B9" s="1">
        <v>41.11</v>
      </c>
    </row>
    <row r="10" spans="1:2" x14ac:dyDescent="0.3">
      <c r="A10" s="1" t="s">
        <v>9</v>
      </c>
      <c r="B10" s="1">
        <v>41.11</v>
      </c>
    </row>
    <row r="11" spans="1:2" x14ac:dyDescent="0.3">
      <c r="A11" s="1" t="s">
        <v>10</v>
      </c>
      <c r="B11" s="1">
        <v>41.11</v>
      </c>
    </row>
    <row r="12" spans="1:2" x14ac:dyDescent="0.3">
      <c r="A12" s="1" t="s">
        <v>11</v>
      </c>
      <c r="B12" s="1">
        <v>41.11</v>
      </c>
    </row>
    <row r="13" spans="1:2" x14ac:dyDescent="0.3">
      <c r="A13" s="1" t="s">
        <v>12</v>
      </c>
      <c r="B13" s="1">
        <v>41.11</v>
      </c>
    </row>
    <row r="14" spans="1:2" x14ac:dyDescent="0.3">
      <c r="A14" s="1" t="s">
        <v>13</v>
      </c>
      <c r="B14" s="1">
        <v>41.11</v>
      </c>
    </row>
    <row r="15" spans="1:2" x14ac:dyDescent="0.3">
      <c r="A15" s="1" t="s">
        <v>14</v>
      </c>
      <c r="B15" s="1">
        <v>41.11</v>
      </c>
    </row>
    <row r="16" spans="1:2" x14ac:dyDescent="0.3">
      <c r="A16" s="1" t="s">
        <v>15</v>
      </c>
      <c r="B16" s="1">
        <v>41.11</v>
      </c>
    </row>
    <row r="17" spans="1:2" x14ac:dyDescent="0.3">
      <c r="A17" s="1" t="s">
        <v>16</v>
      </c>
      <c r="B17" s="1">
        <v>41.11</v>
      </c>
    </row>
    <row r="18" spans="1:2" x14ac:dyDescent="0.3">
      <c r="A18" s="1" t="s">
        <v>17</v>
      </c>
      <c r="B18" s="1">
        <v>41.11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786A-5F20-4ACC-AD12-72D8E7C4D79D}">
  <dimension ref="A1:B18"/>
  <sheetViews>
    <sheetView tabSelected="1" zoomScaleNormal="100" workbookViewId="0">
      <selection activeCell="D17" sqref="D17"/>
    </sheetView>
  </sheetViews>
  <sheetFormatPr defaultRowHeight="14.4" x14ac:dyDescent="0.3"/>
  <cols>
    <col min="1" max="1" width="15.33203125" style="1" bestFit="1" customWidth="1"/>
    <col min="2" max="6" width="13.109375" customWidth="1"/>
  </cols>
  <sheetData>
    <row r="1" spans="1:2" x14ac:dyDescent="0.3">
      <c r="A1" s="4" t="s">
        <v>0</v>
      </c>
      <c r="B1" s="1" t="s">
        <v>51</v>
      </c>
    </row>
    <row r="2" spans="1:2" x14ac:dyDescent="0.3">
      <c r="A2" s="22" t="s">
        <v>49</v>
      </c>
      <c r="B2" s="1" t="s">
        <v>52</v>
      </c>
    </row>
    <row r="3" spans="1:2" x14ac:dyDescent="0.3">
      <c r="A3" s="1" t="s">
        <v>2</v>
      </c>
      <c r="B3">
        <v>41.9</v>
      </c>
    </row>
    <row r="4" spans="1:2" x14ac:dyDescent="0.3">
      <c r="A4" s="1" t="s">
        <v>3</v>
      </c>
      <c r="B4">
        <v>41.9</v>
      </c>
    </row>
    <row r="5" spans="1:2" x14ac:dyDescent="0.3">
      <c r="A5" s="1" t="s">
        <v>4</v>
      </c>
      <c r="B5">
        <v>41.9</v>
      </c>
    </row>
    <row r="6" spans="1:2" x14ac:dyDescent="0.3">
      <c r="A6" s="1" t="s">
        <v>5</v>
      </c>
      <c r="B6">
        <v>41.9</v>
      </c>
    </row>
    <row r="7" spans="1:2" x14ac:dyDescent="0.3">
      <c r="A7" s="1" t="s">
        <v>6</v>
      </c>
      <c r="B7">
        <v>41.9</v>
      </c>
    </row>
    <row r="8" spans="1:2" x14ac:dyDescent="0.3">
      <c r="A8" s="1" t="s">
        <v>7</v>
      </c>
      <c r="B8">
        <v>41.9</v>
      </c>
    </row>
    <row r="9" spans="1:2" x14ac:dyDescent="0.3">
      <c r="A9" s="1" t="s">
        <v>8</v>
      </c>
      <c r="B9">
        <v>41.9</v>
      </c>
    </row>
    <row r="10" spans="1:2" x14ac:dyDescent="0.3">
      <c r="A10" s="1" t="s">
        <v>9</v>
      </c>
      <c r="B10">
        <v>41.9</v>
      </c>
    </row>
    <row r="11" spans="1:2" x14ac:dyDescent="0.3">
      <c r="A11" s="1" t="s">
        <v>10</v>
      </c>
      <c r="B11">
        <v>41.9</v>
      </c>
    </row>
    <row r="12" spans="1:2" x14ac:dyDescent="0.3">
      <c r="A12" s="1" t="s">
        <v>11</v>
      </c>
      <c r="B12">
        <v>41.9</v>
      </c>
    </row>
    <row r="13" spans="1:2" x14ac:dyDescent="0.3">
      <c r="A13" s="1" t="s">
        <v>12</v>
      </c>
      <c r="B13">
        <v>41.9</v>
      </c>
    </row>
    <row r="14" spans="1:2" x14ac:dyDescent="0.3">
      <c r="A14" s="1" t="s">
        <v>13</v>
      </c>
      <c r="B14">
        <v>41.9</v>
      </c>
    </row>
    <row r="15" spans="1:2" x14ac:dyDescent="0.3">
      <c r="A15" s="1" t="s">
        <v>14</v>
      </c>
      <c r="B15">
        <v>41.9</v>
      </c>
    </row>
    <row r="16" spans="1:2" x14ac:dyDescent="0.3">
      <c r="A16" s="1" t="s">
        <v>15</v>
      </c>
      <c r="B16">
        <v>41.9</v>
      </c>
    </row>
    <row r="17" spans="1:2" x14ac:dyDescent="0.3">
      <c r="A17" s="1" t="s">
        <v>16</v>
      </c>
      <c r="B17">
        <v>41.9</v>
      </c>
    </row>
    <row r="18" spans="1:2" x14ac:dyDescent="0.3">
      <c r="A18" s="1" t="s">
        <v>17</v>
      </c>
      <c r="B18">
        <v>41.9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4E4E-C4D4-4E9A-8D0A-DD05CFC70D7B}">
  <dimension ref="A1:B32"/>
  <sheetViews>
    <sheetView workbookViewId="0">
      <selection activeCell="F15" sqref="D1:F15"/>
    </sheetView>
  </sheetViews>
  <sheetFormatPr defaultRowHeight="14.4" x14ac:dyDescent="0.3"/>
  <cols>
    <col min="1" max="1" width="15.6640625" style="2" customWidth="1"/>
    <col min="2" max="6" width="13.109375" customWidth="1"/>
  </cols>
  <sheetData>
    <row r="1" spans="1:2" x14ac:dyDescent="0.3">
      <c r="A1" s="3" t="s">
        <v>18</v>
      </c>
      <c r="B1" s="1" t="s">
        <v>1</v>
      </c>
    </row>
    <row r="2" spans="1:2" x14ac:dyDescent="0.3">
      <c r="A2" s="29" t="str">
        <f ca="1">OFFSET('Current Value'!$A$1,COUNTA('Current Value'!A:A)-14,0)</f>
        <v>0003</v>
      </c>
      <c r="B2" s="1">
        <f ca="1" xml:space="preserve"> VLOOKUP($A2,'Current Value'!$A$1:$B$18,2,) - VLOOKUP($A3,'Current Value'!$A$1:$B$18,2,)</f>
        <v>-0.46000000000000085</v>
      </c>
    </row>
    <row r="3" spans="1:2" x14ac:dyDescent="0.3">
      <c r="A3" s="29" t="str">
        <f ca="1">OFFSET('Current Value'!$A$1,COUNTA('Current Value'!A:A)-13,0)</f>
        <v>0004</v>
      </c>
      <c r="B3" s="1">
        <f ca="1" xml:space="preserve"> VLOOKUP($A3,'Current Value'!$A$1:$B$18,2,) - VLOOKUP($A4,'Current Value'!$A$1:$B$18,2,)</f>
        <v>0.52000000000000313</v>
      </c>
    </row>
    <row r="4" spans="1:2" x14ac:dyDescent="0.3">
      <c r="A4" s="29" t="str">
        <f ca="1">OFFSET('Current Value'!$A$1,COUNTA('Current Value'!A:A)-12,0)</f>
        <v>0005</v>
      </c>
      <c r="B4" s="1">
        <f ca="1" xml:space="preserve"> VLOOKUP($A4,'Current Value'!$A$1:$B$18,2,) - VLOOKUP($A5,'Current Value'!$A$1:$B$18,2,)</f>
        <v>0.75999999999999801</v>
      </c>
    </row>
    <row r="5" spans="1:2" x14ac:dyDescent="0.3">
      <c r="A5" s="29" t="str">
        <f ca="1">OFFSET('Current Value'!$A$1,COUNTA('Current Value'!A:A)-11,0)</f>
        <v>0006</v>
      </c>
      <c r="B5" s="1">
        <f ca="1" xml:space="preserve"> VLOOKUP($A5,'Current Value'!$A$1:$B$18,2,) - VLOOKUP($A6,'Current Value'!$A$1:$B$18,2,)</f>
        <v>-0.53000000000000114</v>
      </c>
    </row>
    <row r="6" spans="1:2" x14ac:dyDescent="0.3">
      <c r="A6" s="29" t="str">
        <f ca="1">OFFSET('Current Value'!$A$1,COUNTA('Current Value'!A:A)-10,0)</f>
        <v>0007</v>
      </c>
      <c r="B6" s="1">
        <f ca="1" xml:space="preserve"> VLOOKUP($A6,'Current Value'!$A$1:$B$18,2,) - VLOOKUP($A7,'Current Value'!$A$1:$B$18,2,)</f>
        <v>0.56000000000000227</v>
      </c>
    </row>
    <row r="7" spans="1:2" x14ac:dyDescent="0.3">
      <c r="A7" s="29" t="str">
        <f ca="1">OFFSET('Current Value'!$A$1,COUNTA('Current Value'!A:A)-9,0)</f>
        <v>0008</v>
      </c>
      <c r="B7" s="1">
        <f ca="1" xml:space="preserve"> VLOOKUP($A7,'Current Value'!$A$1:$B$18,2,) - VLOOKUP($A8,'Current Value'!$A$1:$B$18,2,)</f>
        <v>0.14000000000000057</v>
      </c>
    </row>
    <row r="8" spans="1:2" x14ac:dyDescent="0.3">
      <c r="A8" s="29" t="str">
        <f ca="1">OFFSET('Current Value'!$A$1,COUNTA('Current Value'!A:A)-8,0)</f>
        <v>0009</v>
      </c>
      <c r="B8" s="1">
        <f ca="1" xml:space="preserve"> VLOOKUP($A8,'Current Value'!$A$1:$B$18,2,) - VLOOKUP($A9,'Current Value'!$A$1:$B$18,2,)</f>
        <v>-1</v>
      </c>
    </row>
    <row r="9" spans="1:2" x14ac:dyDescent="0.3">
      <c r="A9" s="29" t="str">
        <f ca="1">OFFSET('Current Value'!$A$1,COUNTA('Current Value'!A:A)-7,0)</f>
        <v>0010</v>
      </c>
      <c r="B9" s="1">
        <f ca="1" xml:space="preserve"> VLOOKUP($A9,'Current Value'!$A$1:$B$18,2,) - VLOOKUP($A10,'Current Value'!$A$1:$B$18,2,)</f>
        <v>0.14000000000000057</v>
      </c>
    </row>
    <row r="10" spans="1:2" x14ac:dyDescent="0.3">
      <c r="A10" s="29" t="str">
        <f ca="1">OFFSET('Current Value'!$A$1,COUNTA('Current Value'!A:A)-6,0)</f>
        <v>0011</v>
      </c>
      <c r="B10" s="1">
        <f ca="1" xml:space="preserve"> VLOOKUP($A10,'Current Value'!$A$1:$B$18,2,) - VLOOKUP($A11,'Current Value'!$A$1:$B$18,2,)</f>
        <v>0.13999999999999346</v>
      </c>
    </row>
    <row r="11" spans="1:2" x14ac:dyDescent="0.3">
      <c r="A11" s="29" t="str">
        <f ca="1">OFFSET('Current Value'!$A$1,COUNTA('Current Value'!A:A)-5,0)</f>
        <v>0012</v>
      </c>
      <c r="B11" s="1">
        <f ca="1" xml:space="preserve"> VLOOKUP($A11,'Current Value'!$A$1:$B$18,2,) - VLOOKUP($A12,'Current Value'!$A$1:$B$18,2,)</f>
        <v>0.16000000000000369</v>
      </c>
    </row>
    <row r="12" spans="1:2" x14ac:dyDescent="0.3">
      <c r="A12" s="29" t="str">
        <f ca="1">OFFSET('Current Value'!$A$1,COUNTA('Current Value'!A:A)-4,0)</f>
        <v>0013</v>
      </c>
      <c r="B12" s="1">
        <f ca="1" xml:space="preserve"> VLOOKUP($A12,'Current Value'!$A$1:$B$18,2,) - VLOOKUP($A13,'Current Value'!$A$1:$B$18,2,)</f>
        <v>0.13000000000000256</v>
      </c>
    </row>
    <row r="13" spans="1:2" x14ac:dyDescent="0.3">
      <c r="A13" s="29" t="str">
        <f ca="1">OFFSET('Current Value'!$A$1,COUNTA('Current Value'!A:A)-3,0)</f>
        <v>0014</v>
      </c>
      <c r="B13" s="1">
        <f ca="1" xml:space="preserve"> VLOOKUP($A13,'Current Value'!$A$1:$B$18,2,) - VLOOKUP($A14,'Current Value'!$A$1:$B$18,2,)</f>
        <v>0.10999999999999943</v>
      </c>
    </row>
    <row r="14" spans="1:2" x14ac:dyDescent="0.3">
      <c r="A14" s="29" t="str">
        <f ca="1">OFFSET('Current Value'!$A$1,COUNTA('Current Value'!A:A)-2,0)</f>
        <v>0015</v>
      </c>
      <c r="B14" s="1">
        <f ca="1" xml:space="preserve"> VLOOKUP($A14,'Current Value'!$A$1:$B$18,2,) - VLOOKUP($A15,'Current Value'!$A$1:$B$18,2,)</f>
        <v>0.22999999999999687</v>
      </c>
    </row>
    <row r="15" spans="1:2" x14ac:dyDescent="0.3">
      <c r="A15" s="29" t="str">
        <f ca="1">OFFSET('Current Value'!$A$1,COUNTA('Current Value'!A:A)-1,0)</f>
        <v>0016</v>
      </c>
      <c r="B15" s="1"/>
    </row>
    <row r="16" spans="1:2" x14ac:dyDescent="0.3">
      <c r="A16" s="29"/>
      <c r="B16" s="1"/>
    </row>
    <row r="17" spans="1:2" x14ac:dyDescent="0.3">
      <c r="A17" s="3"/>
      <c r="B17" s="1"/>
    </row>
    <row r="18" spans="1:2" x14ac:dyDescent="0.3">
      <c r="A18" s="3"/>
      <c r="B18" s="1" t="str">
        <f ca="1">IF(SUM(B19:B32) = 12,"TRUE","FALSE")</f>
        <v>FALSE</v>
      </c>
    </row>
    <row r="19" spans="1:2" x14ac:dyDescent="0.3">
      <c r="A19" s="3" t="str">
        <f t="shared" ref="A19:A32" ca="1" si="0">A2</f>
        <v>0003</v>
      </c>
      <c r="B19" s="1">
        <f ca="1">IF(B2&lt;0,IF(B3&gt;0,1,0),IF(B3&lt;0,1,0))</f>
        <v>1</v>
      </c>
    </row>
    <row r="20" spans="1:2" x14ac:dyDescent="0.3">
      <c r="A20" s="3" t="str">
        <f t="shared" ca="1" si="0"/>
        <v>0004</v>
      </c>
      <c r="B20" s="1">
        <f t="shared" ref="B20" ca="1" si="1">IF(B3&lt;0,IF(B4&gt;0,1,0),IF(B4&lt;0,1,0))</f>
        <v>0</v>
      </c>
    </row>
    <row r="21" spans="1:2" x14ac:dyDescent="0.3">
      <c r="A21" s="3" t="str">
        <f t="shared" ca="1" si="0"/>
        <v>0005</v>
      </c>
      <c r="B21" s="1">
        <f t="shared" ref="B21" ca="1" si="2">IF(B4&lt;0,IF(B5&gt;0,1,0),IF(B5&lt;0,1,0))</f>
        <v>1</v>
      </c>
    </row>
    <row r="22" spans="1:2" x14ac:dyDescent="0.3">
      <c r="A22" s="3" t="str">
        <f t="shared" ca="1" si="0"/>
        <v>0006</v>
      </c>
      <c r="B22" s="1">
        <f t="shared" ref="B22" ca="1" si="3">IF(B5&lt;0,IF(B6&gt;0,1,0),IF(B6&lt;0,1,0))</f>
        <v>1</v>
      </c>
    </row>
    <row r="23" spans="1:2" x14ac:dyDescent="0.3">
      <c r="A23" s="3" t="str">
        <f t="shared" ca="1" si="0"/>
        <v>0007</v>
      </c>
      <c r="B23" s="1">
        <f t="shared" ref="B23" ca="1" si="4">IF(B6&lt;0,IF(B7&gt;0,1,0),IF(B7&lt;0,1,0))</f>
        <v>0</v>
      </c>
    </row>
    <row r="24" spans="1:2" x14ac:dyDescent="0.3">
      <c r="A24" s="3" t="str">
        <f t="shared" ca="1" si="0"/>
        <v>0008</v>
      </c>
      <c r="B24" s="1">
        <f t="shared" ref="B24" ca="1" si="5">IF(B7&lt;0,IF(B8&gt;0,1,0),IF(B8&lt;0,1,0))</f>
        <v>1</v>
      </c>
    </row>
    <row r="25" spans="1:2" x14ac:dyDescent="0.3">
      <c r="A25" s="3" t="str">
        <f t="shared" ca="1" si="0"/>
        <v>0009</v>
      </c>
      <c r="B25" s="1">
        <f t="shared" ref="B25" ca="1" si="6">IF(B8&lt;0,IF(B9&gt;0,1,0),IF(B9&lt;0,1,0))</f>
        <v>1</v>
      </c>
    </row>
    <row r="26" spans="1:2" x14ac:dyDescent="0.3">
      <c r="A26" s="3" t="str">
        <f t="shared" ca="1" si="0"/>
        <v>0010</v>
      </c>
      <c r="B26" s="1">
        <f t="shared" ref="B26" ca="1" si="7">IF(B9&lt;0,IF(B10&gt;0,1,0),IF(B10&lt;0,1,0))</f>
        <v>0</v>
      </c>
    </row>
    <row r="27" spans="1:2" x14ac:dyDescent="0.3">
      <c r="A27" s="3" t="str">
        <f t="shared" ca="1" si="0"/>
        <v>0011</v>
      </c>
      <c r="B27" s="1">
        <f t="shared" ref="B27" ca="1" si="8">IF(B10&lt;0,IF(B11&gt;0,1,0),IF(B11&lt;0,1,0))</f>
        <v>0</v>
      </c>
    </row>
    <row r="28" spans="1:2" x14ac:dyDescent="0.3">
      <c r="A28" s="3" t="str">
        <f t="shared" ca="1" si="0"/>
        <v>0012</v>
      </c>
      <c r="B28" s="1">
        <f t="shared" ref="B28" ca="1" si="9">IF(B11&lt;0,IF(B12&gt;0,1,0),IF(B12&lt;0,1,0))</f>
        <v>0</v>
      </c>
    </row>
    <row r="29" spans="1:2" x14ac:dyDescent="0.3">
      <c r="A29" s="3" t="str">
        <f t="shared" ca="1" si="0"/>
        <v>0013</v>
      </c>
      <c r="B29" s="1">
        <f t="shared" ref="B29" ca="1" si="10">IF(B12&lt;0,IF(B13&gt;0,1,0),IF(B13&lt;0,1,0))</f>
        <v>0</v>
      </c>
    </row>
    <row r="30" spans="1:2" x14ac:dyDescent="0.3">
      <c r="A30" s="3" t="str">
        <f t="shared" ca="1" si="0"/>
        <v>0014</v>
      </c>
      <c r="B30" s="1">
        <f t="shared" ref="B30" ca="1" si="11">IF(B13&lt;0,IF(B14&gt;0,1,0),IF(B14&lt;0,1,0))</f>
        <v>0</v>
      </c>
    </row>
    <row r="31" spans="1:2" x14ac:dyDescent="0.3">
      <c r="A31" s="3" t="str">
        <f t="shared" ca="1" si="0"/>
        <v>0015</v>
      </c>
      <c r="B31" s="1">
        <f t="shared" ref="B31" ca="1" si="12">IF(B14&lt;0,IF(B15&gt;0,1,0),IF(B15&lt;0,1,0))</f>
        <v>0</v>
      </c>
    </row>
    <row r="32" spans="1:2" x14ac:dyDescent="0.3">
      <c r="A32" s="3" t="str">
        <f t="shared" ca="1" si="0"/>
        <v>0016</v>
      </c>
      <c r="B32" s="1">
        <f t="shared" ref="B32" si="13">IF(B15&lt;0,IF(B16&gt;0,1,0),IF(B16&lt;0,1,0))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F6E8-BA55-43DE-B5F1-C4F260CE55A7}">
  <dimension ref="A1:B2"/>
  <sheetViews>
    <sheetView zoomScaleNormal="100" workbookViewId="0">
      <selection activeCell="C7" sqref="C7"/>
    </sheetView>
  </sheetViews>
  <sheetFormatPr defaultRowHeight="14.4" x14ac:dyDescent="0.3"/>
  <cols>
    <col min="1" max="1" width="14.88671875" customWidth="1"/>
    <col min="2" max="6" width="13.109375" customWidth="1"/>
  </cols>
  <sheetData>
    <row r="1" spans="1:2" x14ac:dyDescent="0.3">
      <c r="A1" s="4" t="s">
        <v>18</v>
      </c>
      <c r="B1" s="1" t="s">
        <v>1</v>
      </c>
    </row>
    <row r="2" spans="1:2" x14ac:dyDescent="0.3">
      <c r="A2" s="3" t="str">
        <f ca="1">OFFSET('Current Value'!A1,COUNTA('Current Value'!A:A)-1,0)</f>
        <v>0016</v>
      </c>
      <c r="B2" s="1" t="str">
        <f ca="1">IF(VLOOKUP($A$2,'Current Value'!$A$1:$B$18,2,TRUE) &gt; VLOOKUP($A$2,UCL!$A$1:$B$17,2,TRUE),"OVER",IF(VLOOKUP($A$2,'Current Value'!$A$1:$B$18,2,TRUE) &lt; VLOOKUP($A$2,LCL!$A$1:$B$17,2,TRUE),"UNDER","NORMAL"))</f>
        <v>NORMAL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65FA2-1D4A-453E-9C27-9531FB987904}">
  <dimension ref="A1:B16"/>
  <sheetViews>
    <sheetView zoomScaleNormal="100" workbookViewId="0">
      <selection activeCell="D13" sqref="D13"/>
    </sheetView>
  </sheetViews>
  <sheetFormatPr defaultRowHeight="14.4" x14ac:dyDescent="0.3"/>
  <cols>
    <col min="1" max="1" width="13.109375" customWidth="1"/>
    <col min="2" max="2" width="17.5546875" customWidth="1"/>
    <col min="3" max="3" width="14.6640625" customWidth="1"/>
    <col min="4" max="6" width="13.109375" customWidth="1"/>
  </cols>
  <sheetData>
    <row r="1" spans="1:2" x14ac:dyDescent="0.3">
      <c r="A1" s="4" t="s">
        <v>18</v>
      </c>
      <c r="B1" s="1" t="s">
        <v>1</v>
      </c>
    </row>
    <row r="2" spans="1:2" x14ac:dyDescent="0.3">
      <c r="A2" s="3" t="str">
        <f ca="1">OFFSET('Current Value'!$A$1,COUNTA('Current Value'!A:A)-1,0)</f>
        <v>0016</v>
      </c>
      <c r="B2" s="1">
        <f ca="1" xml:space="preserve"> VLOOKUP($A2,'Current Value'!$A$1:$B$18,2,TRUE) - VLOOKUP($A2,AVG!$A$1:$B$17,2,TRUE)</f>
        <v>-0.25999999999999801</v>
      </c>
    </row>
    <row r="3" spans="1:2" x14ac:dyDescent="0.3">
      <c r="A3" s="3" t="str">
        <f ca="1">OFFSET('Current Value'!$A$1,COUNTA('Current Value'!A:A)-2,0)</f>
        <v>0015</v>
      </c>
      <c r="B3" s="1">
        <f ca="1" xml:space="preserve"> VLOOKUP($A3,'Current Value'!$A$1:$B$18,2,TRUE) - VLOOKUP($A3,AVG!$A$1:$B$17,2,TRUE)</f>
        <v>-3.0000000000001137E-2</v>
      </c>
    </row>
    <row r="4" spans="1:2" x14ac:dyDescent="0.3">
      <c r="A4" s="3" t="str">
        <f ca="1">OFFSET('Current Value'!$A$1,COUNTA('Current Value'!A:A)-3,0)</f>
        <v>0014</v>
      </c>
      <c r="B4" s="1">
        <f ca="1" xml:space="preserve"> VLOOKUP($A4,'Current Value'!$A$1:$B$18,2,TRUE) - VLOOKUP($A4,AVG!$A$1:$B$17,2,TRUE)</f>
        <v>7.9999999999998295E-2</v>
      </c>
    </row>
    <row r="5" spans="1:2" x14ac:dyDescent="0.3">
      <c r="A5" s="3" t="str">
        <f ca="1">OFFSET('Current Value'!$A$1,COUNTA('Current Value'!A:A)-4,0)</f>
        <v>0013</v>
      </c>
      <c r="B5" s="1">
        <f ca="1" xml:space="preserve"> VLOOKUP($A5,'Current Value'!$A$1:$B$18,2,TRUE) - VLOOKUP($A5,AVG!$A$1:$B$17,2,TRUE)</f>
        <v>0.21000000000000085</v>
      </c>
    </row>
    <row r="6" spans="1:2" x14ac:dyDescent="0.3">
      <c r="A6" s="3" t="str">
        <f ca="1">OFFSET('Current Value'!$A$1,COUNTA('Current Value'!A:A)-5,0)</f>
        <v>0012</v>
      </c>
      <c r="B6" s="1">
        <f ca="1" xml:space="preserve"> VLOOKUP($A6,'Current Value'!$A$1:$B$18,2,TRUE) - VLOOKUP($A6,AVG!$A$1:$B$17,2,TRUE)</f>
        <v>0.37000000000000455</v>
      </c>
    </row>
    <row r="7" spans="1:2" x14ac:dyDescent="0.3">
      <c r="A7" s="3" t="str">
        <f ca="1">OFFSET('Current Value'!$A$1,COUNTA('Current Value'!A:A)-6,0)</f>
        <v>0011</v>
      </c>
      <c r="B7" s="1">
        <f ca="1" xml:space="preserve"> VLOOKUP($A7,'Current Value'!$A$1:$B$18,2,TRUE) - VLOOKUP($A7,AVG!$A$1:$B$17,2,TRUE)</f>
        <v>0.50999999999999801</v>
      </c>
    </row>
    <row r="8" spans="1:2" x14ac:dyDescent="0.3">
      <c r="A8" s="3" t="str">
        <f ca="1">OFFSET('Current Value'!$A$1,COUNTA('Current Value'!A:A)-7,0)</f>
        <v>0010</v>
      </c>
      <c r="B8" s="1">
        <f ca="1" xml:space="preserve"> VLOOKUP($A8,'Current Value'!$A$1:$B$18,2,TRUE) - VLOOKUP($A8,AVG!$A$1:$B$17,2,TRUE)</f>
        <v>0.64999999999999858</v>
      </c>
    </row>
    <row r="9" spans="1:2" x14ac:dyDescent="0.3">
      <c r="A9" s="3" t="str">
        <f ca="1">OFFSET('Current Value'!$A$1,COUNTA('Current Value'!A:A)-8,0)</f>
        <v>0009</v>
      </c>
      <c r="B9" s="1">
        <f ca="1" xml:space="preserve"> VLOOKUP($A9,'Current Value'!$A$1:$B$18,2,TRUE) - VLOOKUP($A9,AVG!$A$1:$B$17,2,TRUE)</f>
        <v>-0.35000000000000142</v>
      </c>
    </row>
    <row r="10" spans="1:2" x14ac:dyDescent="0.3">
      <c r="A10" s="3"/>
      <c r="B10" s="1" t="str">
        <f ca="1">IF(COUNTIF(B2:B8,"&lt;0") = 7,"LWL",IF(COUNTIF(B2:B8,"&gt;0") = 7, "UWL","NORMAL"))</f>
        <v>NORMAL</v>
      </c>
    </row>
    <row r="11" spans="1:2" x14ac:dyDescent="0.3">
      <c r="A11" s="2"/>
    </row>
    <row r="12" spans="1:2" x14ac:dyDescent="0.3">
      <c r="A12" s="2"/>
    </row>
    <row r="13" spans="1:2" x14ac:dyDescent="0.3">
      <c r="A13" s="2"/>
    </row>
    <row r="14" spans="1:2" x14ac:dyDescent="0.3">
      <c r="A14" s="2"/>
    </row>
    <row r="15" spans="1:2" x14ac:dyDescent="0.3">
      <c r="A15" s="2"/>
    </row>
    <row r="16" spans="1:2" x14ac:dyDescent="0.3">
      <c r="A16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8B8A-F411-425B-8918-253A5A0027BE}">
  <dimension ref="A1:B10"/>
  <sheetViews>
    <sheetView zoomScaleNormal="100" workbookViewId="0">
      <selection activeCell="C10" sqref="C10"/>
    </sheetView>
  </sheetViews>
  <sheetFormatPr defaultRowHeight="14.4" x14ac:dyDescent="0.3"/>
  <cols>
    <col min="1" max="1" width="12.88671875" customWidth="1"/>
    <col min="2" max="6" width="13.109375" customWidth="1"/>
  </cols>
  <sheetData>
    <row r="1" spans="1:2" x14ac:dyDescent="0.3">
      <c r="A1" s="1" t="s">
        <v>18</v>
      </c>
      <c r="B1" s="1" t="s">
        <v>1</v>
      </c>
    </row>
    <row r="2" spans="1:2" x14ac:dyDescent="0.3">
      <c r="A2" s="3" t="str">
        <f ca="1">OFFSET('Current Value'!$A$1,COUNTA('Current Value'!A:A)-1,0)</f>
        <v>0016</v>
      </c>
      <c r="B2" s="1">
        <f ca="1" xml:space="preserve"> VLOOKUP($A2,'Current Value'!$A$1:$B$18,2,TRUE) - VLOOKUP($A3,'Current Value'!$A$1:$B$18,2,TRUE)</f>
        <v>-0.22999999999999687</v>
      </c>
    </row>
    <row r="3" spans="1:2" x14ac:dyDescent="0.3">
      <c r="A3" s="3" t="str">
        <f ca="1">OFFSET('Current Value'!$A$1,COUNTA('Current Value'!A:A)-2,0)</f>
        <v>0015</v>
      </c>
      <c r="B3" s="1">
        <f ca="1" xml:space="preserve"> VLOOKUP($A3,'Current Value'!$A$1:$B$18,2,TRUE) - VLOOKUP($A4,'Current Value'!$A$1:$B$18,2,TRUE)</f>
        <v>-0.10999999999999943</v>
      </c>
    </row>
    <row r="4" spans="1:2" x14ac:dyDescent="0.3">
      <c r="A4" s="3" t="str">
        <f ca="1">OFFSET('Current Value'!$A$1,COUNTA('Current Value'!A:A)-3,0)</f>
        <v>0014</v>
      </c>
      <c r="B4" s="1">
        <f ca="1" xml:space="preserve"> VLOOKUP($A4,'Current Value'!$A$1:$B$18,2,TRUE) - VLOOKUP($A5,'Current Value'!$A$1:$B$18,2,TRUE)</f>
        <v>-0.13000000000000256</v>
      </c>
    </row>
    <row r="5" spans="1:2" x14ac:dyDescent="0.3">
      <c r="A5" s="3" t="str">
        <f ca="1">OFFSET('Current Value'!$A$1,COUNTA('Current Value'!A:A)-4,0)</f>
        <v>0013</v>
      </c>
      <c r="B5" s="1">
        <f ca="1" xml:space="preserve"> VLOOKUP($A5,'Current Value'!$A$1:$B$18,2,TRUE) - VLOOKUP($A6,'Current Value'!$A$1:$B$18,2,TRUE)</f>
        <v>-0.16000000000000369</v>
      </c>
    </row>
    <row r="6" spans="1:2" x14ac:dyDescent="0.3">
      <c r="A6" s="3" t="str">
        <f ca="1">OFFSET('Current Value'!$A$1,COUNTA('Current Value'!A:A)-5,0)</f>
        <v>0012</v>
      </c>
      <c r="B6" s="1">
        <f ca="1" xml:space="preserve"> VLOOKUP($A6,'Current Value'!$A$1:$B$18,2,TRUE) - VLOOKUP($A7,'Current Value'!$A$1:$B$18,2,TRUE)</f>
        <v>-0.13999999999999346</v>
      </c>
    </row>
    <row r="7" spans="1:2" x14ac:dyDescent="0.3">
      <c r="A7" s="3" t="str">
        <f ca="1">OFFSET('Current Value'!$A$1,COUNTA('Current Value'!A:A)-6,0)</f>
        <v>0011</v>
      </c>
      <c r="B7" s="1">
        <f ca="1" xml:space="preserve"> VLOOKUP($A7,'Current Value'!$A$1:$B$18,2,TRUE) - VLOOKUP($A8,'Current Value'!$A$1:$B$18,2,TRUE)</f>
        <v>-0.14000000000000057</v>
      </c>
    </row>
    <row r="8" spans="1:2" x14ac:dyDescent="0.3">
      <c r="A8" s="3" t="str">
        <f ca="1">OFFSET('Current Value'!$A$1,COUNTA('Current Value'!A:A)-7,0)</f>
        <v>0010</v>
      </c>
      <c r="B8" s="1">
        <f ca="1" xml:space="preserve"> VLOOKUP($A8,'Current Value'!$A$1:$B$18,2,TRUE) - VLOOKUP($A9,'Current Value'!$A$1:$B$18,2,TRUE)</f>
        <v>1</v>
      </c>
    </row>
    <row r="9" spans="1:2" x14ac:dyDescent="0.3">
      <c r="A9" s="3" t="str">
        <f ca="1">OFFSET('Current Value'!$A$1,COUNTA('Current Value'!A:A)-8,0)</f>
        <v>0009</v>
      </c>
      <c r="B9" s="1">
        <f ca="1" xml:space="preserve"> VLOOKUP($A9,'Current Value'!$A$1:$B$18,2,TRUE)</f>
        <v>41.55</v>
      </c>
    </row>
    <row r="10" spans="1:2" x14ac:dyDescent="0.3">
      <c r="A10" s="1"/>
      <c r="B10" s="1" t="str">
        <f ca="1">IF(COUNTIF(B2:B7,"&lt;=0") = 6,"DOWN",IF(COUNTIF(B2:B7,"&gt;=0") = 6, "UP","NORMAL"))</f>
        <v>DOWN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1C8F-BBB0-4663-9829-EF566348F049}">
  <dimension ref="A1:B10"/>
  <sheetViews>
    <sheetView workbookViewId="0">
      <selection activeCell="D12" sqref="D12"/>
    </sheetView>
  </sheetViews>
  <sheetFormatPr defaultRowHeight="14.4" x14ac:dyDescent="0.3"/>
  <cols>
    <col min="1" max="1" width="19.109375" customWidth="1"/>
    <col min="2" max="6" width="11.33203125" bestFit="1" customWidth="1"/>
  </cols>
  <sheetData>
    <row r="1" spans="1:2" x14ac:dyDescent="0.3">
      <c r="A1" s="6" t="s">
        <v>19</v>
      </c>
      <c r="B1" s="5" t="str">
        <f>Table1[[#Headers],[903-00009]]</f>
        <v>903-00009</v>
      </c>
    </row>
    <row r="2" spans="1:2" x14ac:dyDescent="0.3">
      <c r="A2" s="28" t="s">
        <v>50</v>
      </c>
      <c r="B2" s="5" t="str">
        <f>Table1[[#This Row],[903-00009]]</f>
        <v>High MFR by MI40 No1</v>
      </c>
    </row>
    <row r="3" spans="1:2" x14ac:dyDescent="0.3">
      <c r="A3" s="27" t="s">
        <v>20</v>
      </c>
      <c r="B3" s="23">
        <f ca="1">IF(SUM(B4:B10) &gt; 0,0,1)</f>
        <v>0</v>
      </c>
    </row>
    <row r="4" spans="1:2" x14ac:dyDescent="0.3">
      <c r="A4" s="25" t="s">
        <v>21</v>
      </c>
      <c r="B4" s="26">
        <f ca="1">IF(Table5[200121-0001]="OVER",1,0)</f>
        <v>0</v>
      </c>
    </row>
    <row r="5" spans="1:2" x14ac:dyDescent="0.3">
      <c r="A5" s="24" t="s">
        <v>22</v>
      </c>
      <c r="B5" s="23">
        <f ca="1">IF(Table5[200121-0001]="UNDER",1,0)</f>
        <v>0</v>
      </c>
    </row>
    <row r="6" spans="1:2" x14ac:dyDescent="0.3">
      <c r="A6" s="25" t="s">
        <v>23</v>
      </c>
      <c r="B6" s="26">
        <f ca="1">IF(Bias!B10="UWL",1,0)</f>
        <v>0</v>
      </c>
    </row>
    <row r="7" spans="1:2" x14ac:dyDescent="0.3">
      <c r="A7" s="24" t="s">
        <v>24</v>
      </c>
      <c r="B7" s="23">
        <f ca="1">IF(Bias!B10="LWL",1,0)</f>
        <v>0</v>
      </c>
    </row>
    <row r="8" spans="1:2" x14ac:dyDescent="0.3">
      <c r="A8" s="25" t="s">
        <v>25</v>
      </c>
      <c r="B8" s="26">
        <f ca="1">IF(Trend!B10="UP",1,0)</f>
        <v>0</v>
      </c>
    </row>
    <row r="9" spans="1:2" x14ac:dyDescent="0.3">
      <c r="A9" s="24" t="s">
        <v>26</v>
      </c>
      <c r="B9" s="23">
        <f ca="1">IF(Trend!B10="DOWN",1,0)</f>
        <v>1</v>
      </c>
    </row>
    <row r="10" spans="1:2" x14ac:dyDescent="0.3">
      <c r="A10" s="25" t="s">
        <v>27</v>
      </c>
      <c r="B10" s="26">
        <f ca="1">IF('Over Control'!B18="TRUE",1,0)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C8A90-23EF-4CD7-8EAD-2B8777C34E16}">
  <dimension ref="A1:P10"/>
  <sheetViews>
    <sheetView zoomScale="85" zoomScaleNormal="85" workbookViewId="0">
      <selection activeCell="A8" sqref="A8"/>
    </sheetView>
  </sheetViews>
  <sheetFormatPr defaultRowHeight="14.4" x14ac:dyDescent="0.3"/>
  <cols>
    <col min="1" max="1" width="15.33203125" customWidth="1"/>
    <col min="2" max="2" width="18.44140625" bestFit="1" customWidth="1"/>
    <col min="3" max="3" width="10.88671875" bestFit="1" customWidth="1"/>
    <col min="4" max="4" width="15.6640625" bestFit="1" customWidth="1"/>
    <col min="5" max="5" width="11" bestFit="1" customWidth="1"/>
    <col min="6" max="6" width="10.5546875" bestFit="1" customWidth="1"/>
    <col min="7" max="7" width="11.5546875" bestFit="1" customWidth="1"/>
    <col min="8" max="8" width="15.6640625" bestFit="1" customWidth="1"/>
    <col min="9" max="9" width="14.33203125" bestFit="1" customWidth="1"/>
    <col min="10" max="10" width="15.5546875" bestFit="1" customWidth="1"/>
    <col min="11" max="11" width="10" bestFit="1" customWidth="1"/>
    <col min="12" max="12" width="9.5546875" bestFit="1" customWidth="1"/>
    <col min="13" max="13" width="10.33203125" bestFit="1" customWidth="1"/>
    <col min="14" max="14" width="14" bestFit="1" customWidth="1"/>
    <col min="15" max="15" width="15.44140625" bestFit="1" customWidth="1"/>
    <col min="16" max="16" width="12.88671875" bestFit="1" customWidth="1"/>
  </cols>
  <sheetData>
    <row r="1" spans="1:16" ht="28.8" x14ac:dyDescent="0.3">
      <c r="A1" s="12" t="s">
        <v>28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  <c r="G1" s="13" t="s">
        <v>34</v>
      </c>
      <c r="H1" s="14" t="s">
        <v>35</v>
      </c>
      <c r="I1" s="15" t="s">
        <v>36</v>
      </c>
      <c r="J1" s="15" t="s">
        <v>37</v>
      </c>
      <c r="K1" s="15" t="s">
        <v>38</v>
      </c>
      <c r="L1" s="15" t="s">
        <v>39</v>
      </c>
      <c r="M1" s="14" t="s">
        <v>40</v>
      </c>
      <c r="N1" s="14" t="s">
        <v>41</v>
      </c>
      <c r="O1" s="16" t="s">
        <v>42</v>
      </c>
      <c r="P1" s="17" t="s">
        <v>43</v>
      </c>
    </row>
    <row r="2" spans="1:16" x14ac:dyDescent="0.3">
      <c r="A2" s="8" t="s">
        <v>1</v>
      </c>
      <c r="B2" s="8" t="s">
        <v>44</v>
      </c>
      <c r="C2" s="10" t="s">
        <v>45</v>
      </c>
      <c r="D2" s="11">
        <v>20</v>
      </c>
      <c r="E2" s="11">
        <v>50</v>
      </c>
      <c r="F2" s="11">
        <v>10</v>
      </c>
      <c r="G2" s="11">
        <v>25</v>
      </c>
      <c r="H2" s="9" t="e">
        <f ca="1">IF(SUM(I2:P2)=0,1,0)</f>
        <v>#REF!</v>
      </c>
      <c r="I2" s="9">
        <f ca="1">IF(Table5[200121-0001]="UNDER",1,0)</f>
        <v>0</v>
      </c>
      <c r="J2" s="9" t="e">
        <f>IF(_xlfn.SINGLE(#REF!)="OVER",1,0)</f>
        <v>#REF!</v>
      </c>
      <c r="K2" s="9">
        <f ca="1">IF(Bias!B10="LWL",1,0)</f>
        <v>0</v>
      </c>
      <c r="L2" s="9" t="e">
        <f>IF(Bias!#REF!="UWL",1,0)</f>
        <v>#REF!</v>
      </c>
      <c r="M2" s="9">
        <f ca="1">IF(Trend!B10="UP",1,0)</f>
        <v>0</v>
      </c>
      <c r="N2" s="9" t="e">
        <f>IF(Trend!#REF!="DOWN",1,0)</f>
        <v>#REF!</v>
      </c>
      <c r="O2" s="9">
        <v>0</v>
      </c>
      <c r="P2" s="9">
        <f ca="1">(IF('Over Control'!B18,1,0))</f>
        <v>0</v>
      </c>
    </row>
    <row r="3" spans="1:16" x14ac:dyDescent="0.3">
      <c r="A3" s="8" t="s">
        <v>1</v>
      </c>
      <c r="B3" s="8" t="s">
        <v>44</v>
      </c>
      <c r="C3" s="10" t="s">
        <v>46</v>
      </c>
      <c r="D3" s="11">
        <v>7</v>
      </c>
      <c r="E3" s="11">
        <v>50</v>
      </c>
      <c r="F3" s="11">
        <v>10</v>
      </c>
      <c r="G3" s="11">
        <v>25</v>
      </c>
      <c r="H3" s="9" t="e">
        <f ca="1">IF(SUM(I3:P3)=0,1,0)</f>
        <v>#REF!</v>
      </c>
      <c r="I3" s="9">
        <f ca="1">IF(Table5[200121-0001]="UNDER",1,0)</f>
        <v>0</v>
      </c>
      <c r="J3" s="9" t="e">
        <f>IF(_xlfn.SINGLE(#REF!)="OVER",1,0)</f>
        <v>#REF!</v>
      </c>
      <c r="K3" s="9">
        <f>IF(Bias!B11="LWL",1,0)</f>
        <v>0</v>
      </c>
      <c r="L3" s="9">
        <f>IF(Bias!C11="UWL",1,0)</f>
        <v>0</v>
      </c>
      <c r="M3" s="9">
        <f>IF(Trend!B11="UP",1,0)</f>
        <v>0</v>
      </c>
      <c r="N3" s="9">
        <f>IF(Trend!C11="DOWN",1,0)</f>
        <v>0</v>
      </c>
      <c r="O3" s="9">
        <v>0</v>
      </c>
      <c r="P3" s="9">
        <f ca="1">(IF('Over Control'!B19,1,0))</f>
        <v>1</v>
      </c>
    </row>
    <row r="4" spans="1:16" x14ac:dyDescent="0.3">
      <c r="A4" s="8" t="s">
        <v>1</v>
      </c>
      <c r="B4" s="8" t="s">
        <v>44</v>
      </c>
      <c r="C4" s="10" t="s">
        <v>46</v>
      </c>
      <c r="D4" s="11">
        <v>65</v>
      </c>
      <c r="E4" s="11">
        <v>50</v>
      </c>
      <c r="F4" s="11">
        <v>10</v>
      </c>
      <c r="G4" s="11">
        <v>25</v>
      </c>
      <c r="H4" s="9" t="e">
        <f ca="1">IF(SUM(I4:P4)=0,1,0)</f>
        <v>#REF!</v>
      </c>
      <c r="I4" s="9">
        <f ca="1">IF(Table5[200121-0001]="UNDER",1,0)</f>
        <v>0</v>
      </c>
      <c r="J4" s="9" t="e">
        <f>IF(_xlfn.SINGLE(#REF!)="OVER",1,0)</f>
        <v>#REF!</v>
      </c>
      <c r="K4" s="9">
        <f>IF(Bias!B12="LWL",1,0)</f>
        <v>0</v>
      </c>
      <c r="L4" s="9">
        <f>IF(Bias!C12="UWL",1,0)</f>
        <v>0</v>
      </c>
      <c r="M4" s="9">
        <f>IF(Trend!B12="UP",1,0)</f>
        <v>0</v>
      </c>
      <c r="N4" s="9">
        <f>IF(Trend!C12="DOWN",1,0)</f>
        <v>0</v>
      </c>
      <c r="O4" s="9">
        <v>0</v>
      </c>
      <c r="P4" s="9">
        <f ca="1">(IF('Over Control'!B20,1,0))</f>
        <v>0</v>
      </c>
    </row>
    <row r="5" spans="1:16" x14ac:dyDescent="0.3">
      <c r="A5" s="8" t="s">
        <v>1</v>
      </c>
      <c r="B5" s="8" t="s">
        <v>44</v>
      </c>
      <c r="C5" s="10" t="s">
        <v>46</v>
      </c>
      <c r="D5" s="11">
        <v>32</v>
      </c>
      <c r="E5" s="11">
        <v>50</v>
      </c>
      <c r="F5" s="11">
        <v>10</v>
      </c>
      <c r="G5" s="11">
        <v>25</v>
      </c>
      <c r="H5" s="9" t="e">
        <f ca="1">IF(SUM(I5:P5)=0,1,0)</f>
        <v>#REF!</v>
      </c>
      <c r="I5" s="9">
        <f ca="1">IF(Table5[200121-0001]="UNDER",1,0)</f>
        <v>0</v>
      </c>
      <c r="J5" s="9" t="e">
        <f>IF(_xlfn.SINGLE(#REF!)="OVER",1,0)</f>
        <v>#REF!</v>
      </c>
      <c r="K5" s="9">
        <f>IF(Bias!B13="LWL",1,0)</f>
        <v>0</v>
      </c>
      <c r="L5" s="9">
        <f>IF(Bias!C13="UWL",1,0)</f>
        <v>0</v>
      </c>
      <c r="M5" s="9">
        <f>IF(Trend!B13="UP",1,0)</f>
        <v>0</v>
      </c>
      <c r="N5" s="9">
        <f>IF(Trend!C13="DOWN",1,0)</f>
        <v>0</v>
      </c>
      <c r="O5" s="9">
        <v>0</v>
      </c>
      <c r="P5" s="9">
        <f ca="1">(IF('Over Control'!B21,1,0))</f>
        <v>1</v>
      </c>
    </row>
    <row r="8" spans="1:16" x14ac:dyDescent="0.3">
      <c r="A8" s="18" t="s">
        <v>47</v>
      </c>
      <c r="B8" s="19"/>
    </row>
    <row r="10" spans="1:16" x14ac:dyDescent="0.3">
      <c r="A10" s="20" t="s">
        <v>48</v>
      </c>
      <c r="B10" s="21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E55E6C1842AE4CB6572D7D9CD2547D" ma:contentTypeVersion="4" ma:contentTypeDescription="Create a new document." ma:contentTypeScope="" ma:versionID="f04d73a1042f2f701a709b92ee12eb97">
  <xsd:schema xmlns:xsd="http://www.w3.org/2001/XMLSchema" xmlns:xs="http://www.w3.org/2001/XMLSchema" xmlns:p="http://schemas.microsoft.com/office/2006/metadata/properties" xmlns:ns2="8a35aa76-326d-438a-87d5-a222a3176c7d" targetNamespace="http://schemas.microsoft.com/office/2006/metadata/properties" ma:root="true" ma:fieldsID="2085beb2fb7efd96d63cf4033b73ca82" ns2:_="">
    <xsd:import namespace="8a35aa76-326d-438a-87d5-a222a3176c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5aa76-326d-438a-87d5-a222a3176c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297BFE-E1E8-4BA1-BE2D-236C4FFA0F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35aa76-326d-438a-87d5-a222a3176c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1BBC22-9F0F-4067-80AD-237FD482BF7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D0CCC47-C539-4122-BD4B-D70A5C455F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Current Value</vt:lpstr>
      <vt:lpstr>UCL</vt:lpstr>
      <vt:lpstr>LCL</vt:lpstr>
      <vt:lpstr>AVG</vt:lpstr>
      <vt:lpstr>Over Control</vt:lpstr>
      <vt:lpstr>Beyond Limit</vt:lpstr>
      <vt:lpstr>Bias</vt:lpstr>
      <vt:lpstr>Trend</vt:lpstr>
      <vt:lpstr>Summary</vt:lpstr>
      <vt:lpstr>Raw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Sonti Sreechay</dc:creator>
  <cp:keywords/>
  <dc:description/>
  <cp:lastModifiedBy>BARA</cp:lastModifiedBy>
  <cp:revision/>
  <dcterms:created xsi:type="dcterms:W3CDTF">2022-05-10T12:59:41Z</dcterms:created>
  <dcterms:modified xsi:type="dcterms:W3CDTF">2022-07-05T09:28:09Z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0x01010011E55E6C1842AE4CB6572D7D9CD2547D</vt:lpwstr>
  </property>
</Properties>
</file>